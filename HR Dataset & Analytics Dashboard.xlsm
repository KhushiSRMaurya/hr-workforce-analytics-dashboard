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C:\Users\Admin\Downloads\hr-workforce-analytics-dashboard-github\hr-workforce-analytics-dashboard\"/>
    </mc:Choice>
  </mc:AlternateContent>
  <xr:revisionPtr revIDLastSave="0" documentId="13_ncr:1_{642E748A-FEE6-4D72-9823-6CDE7E24649C}" xr6:coauthVersionLast="47" xr6:coauthVersionMax="47" xr10:uidLastSave="{00000000-0000-0000-0000-000000000000}"/>
  <bookViews>
    <workbookView xWindow="-120" yWindow="-120" windowWidth="20730" windowHeight="11160" activeTab="1" xr2:uid="{2B41D531-2FB8-4737-B991-CAD326BA9849}"/>
  </bookViews>
  <sheets>
    <sheet name="Pivot" sheetId="2" r:id="rId1"/>
    <sheet name="Dashboard" sheetId="3" r:id="rId2"/>
    <sheet name="Data" sheetId="1" r:id="rId3"/>
  </sheets>
  <definedNames>
    <definedName name="Slicer_Department">#N/A</definedName>
    <definedName name="Slicer_Gender1">#N/A</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U17" i="2" l="1"/>
  <c r="T17" i="2"/>
  <c r="D17" i="2"/>
  <c r="D16" i="2"/>
  <c r="D15" i="2"/>
  <c r="D14" i="2"/>
  <c r="D13" i="2"/>
  <c r="O15" i="2"/>
  <c r="O14" i="2"/>
  <c r="K12" i="2"/>
  <c r="K11" i="2"/>
  <c r="K10" i="2"/>
  <c r="U15" i="2"/>
  <c r="T13" i="2"/>
  <c r="U12" i="2"/>
  <c r="T16" i="2"/>
  <c r="U14" i="2"/>
  <c r="U13" i="2"/>
  <c r="T14" i="2"/>
  <c r="U16" i="2"/>
  <c r="T15" i="2"/>
  <c r="T12" i="2"/>
  <c r="P14" i="2" l="1"/>
  <c r="Q14" i="2" s="1"/>
  <c r="P15" i="2"/>
  <c r="Q15" i="2" s="1"/>
  <c r="K16" i="2"/>
  <c r="L16" i="2" s="1"/>
  <c r="K13" i="2"/>
  <c r="K17" i="2"/>
  <c r="L17" i="2" s="1"/>
  <c r="K18" i="2"/>
  <c r="L18" i="2" s="1"/>
</calcChain>
</file>

<file path=xl/sharedStrings.xml><?xml version="1.0" encoding="utf-8"?>
<sst xmlns="http://schemas.openxmlformats.org/spreadsheetml/2006/main" count="1606" uniqueCount="329">
  <si>
    <t>Employee ID</t>
  </si>
  <si>
    <t>Full Name</t>
  </si>
  <si>
    <t>Gender</t>
  </si>
  <si>
    <t>Age</t>
  </si>
  <si>
    <t>Age range</t>
  </si>
  <si>
    <t>Region</t>
  </si>
  <si>
    <t>Job Title</t>
  </si>
  <si>
    <t>Department</t>
  </si>
  <si>
    <t>Manager/Supervisor</t>
  </si>
  <si>
    <t>Date of Hire</t>
  </si>
  <si>
    <t>Employment Status</t>
  </si>
  <si>
    <t>Work Location</t>
  </si>
  <si>
    <t>Salary</t>
  </si>
  <si>
    <t>Pay Grade</t>
  </si>
  <si>
    <t>Bonus/Allowances</t>
  </si>
  <si>
    <t>Insurance Details</t>
  </si>
  <si>
    <t>Leave Taken</t>
  </si>
  <si>
    <t>Performance Rating</t>
  </si>
  <si>
    <t>Training Programs Attended</t>
  </si>
  <si>
    <t>Skills</t>
  </si>
  <si>
    <t>Certifications</t>
  </si>
  <si>
    <t>Lori Nguyen</t>
  </si>
  <si>
    <t>Female</t>
  </si>
  <si>
    <t>18-25</t>
  </si>
  <si>
    <t>East</t>
  </si>
  <si>
    <t>Manager</t>
  </si>
  <si>
    <t>Finance</t>
  </si>
  <si>
    <t>Luis Reynolds</t>
  </si>
  <si>
    <t>2019-03-15</t>
  </si>
  <si>
    <t>Full-Time</t>
  </si>
  <si>
    <t>Head Office</t>
  </si>
  <si>
    <t>C</t>
  </si>
  <si>
    <t>Health</t>
  </si>
  <si>
    <t>Leadership Training</t>
  </si>
  <si>
    <t>Design</t>
  </si>
  <si>
    <t>Certified Professional</t>
  </si>
  <si>
    <t>Gary Garcia</t>
  </si>
  <si>
    <t>Male</t>
  </si>
  <si>
    <t>26-35</t>
  </si>
  <si>
    <t>Central</t>
  </si>
  <si>
    <t>Designer</t>
  </si>
  <si>
    <t>HR</t>
  </si>
  <si>
    <t>Ashley Simmons MD</t>
  </si>
  <si>
    <t>2022-12-20</t>
  </si>
  <si>
    <t>Branch Office</t>
  </si>
  <si>
    <t>B</t>
  </si>
  <si>
    <t>None</t>
  </si>
  <si>
    <t>Excel Workshop</t>
  </si>
  <si>
    <t>Jeremy Nguyen</t>
  </si>
  <si>
    <t>West</t>
  </si>
  <si>
    <t>HR Specialist</t>
  </si>
  <si>
    <t>Marketing</t>
  </si>
  <si>
    <t>Cassandra Duncan</t>
  </si>
  <si>
    <t>2022-08-10</t>
  </si>
  <si>
    <t>Remote</t>
  </si>
  <si>
    <t>D</t>
  </si>
  <si>
    <t>Management</t>
  </si>
  <si>
    <t>Advanced Training</t>
  </si>
  <si>
    <t>Kimberly Jones</t>
  </si>
  <si>
    <t>36-45</t>
  </si>
  <si>
    <t>Operations</t>
  </si>
  <si>
    <t>Janet Harris</t>
  </si>
  <si>
    <t>2024-09-03</t>
  </si>
  <si>
    <t>Contract</t>
  </si>
  <si>
    <t>A</t>
  </si>
  <si>
    <t>Health + Dental</t>
  </si>
  <si>
    <t>Python</t>
  </si>
  <si>
    <t>Anthony Gates</t>
  </si>
  <si>
    <t>56 &lt;</t>
  </si>
  <si>
    <t>Mr. Frank Clay</t>
  </si>
  <si>
    <t>2019-03-14</t>
  </si>
  <si>
    <t>Courtney Foster</t>
  </si>
  <si>
    <t>Developer</t>
  </si>
  <si>
    <t>Dorothy Price</t>
  </si>
  <si>
    <t>2017-01-23</t>
  </si>
  <si>
    <t>Communication</t>
  </si>
  <si>
    <t>Catherine Hall</t>
  </si>
  <si>
    <t>Michele Sexton</t>
  </si>
  <si>
    <t>2024-08-17</t>
  </si>
  <si>
    <t>Deanna Ball</t>
  </si>
  <si>
    <t>South</t>
  </si>
  <si>
    <t>IT</t>
  </si>
  <si>
    <t>Richard Schmidt</t>
  </si>
  <si>
    <t>2014-12-09</t>
  </si>
  <si>
    <t>Candace Nelson</t>
  </si>
  <si>
    <t>Teresa Pearson</t>
  </si>
  <si>
    <t>2021-06-28</t>
  </si>
  <si>
    <t>Mandy Davis</t>
  </si>
  <si>
    <t>Laura Hart</t>
  </si>
  <si>
    <t>2018-05-20</t>
  </si>
  <si>
    <t>Matthew Powell</t>
  </si>
  <si>
    <t>Andrea May</t>
  </si>
  <si>
    <t>2017-02-13</t>
  </si>
  <si>
    <t>Bruce Nelson</t>
  </si>
  <si>
    <t>Casey Martin</t>
  </si>
  <si>
    <t>2024-05-05</t>
  </si>
  <si>
    <t>Excel</t>
  </si>
  <si>
    <t>Dawn Cole</t>
  </si>
  <si>
    <t>46-55</t>
  </si>
  <si>
    <t>Amber Allen</t>
  </si>
  <si>
    <t>2022-04-19</t>
  </si>
  <si>
    <t>Tanner Morse</t>
  </si>
  <si>
    <t>North</t>
  </si>
  <si>
    <t>Adam Johnson</t>
  </si>
  <si>
    <t>2015-11-16</t>
  </si>
  <si>
    <t>Jose Griffin</t>
  </si>
  <si>
    <t>Nicole Dominguez</t>
  </si>
  <si>
    <t>2023-09-09</t>
  </si>
  <si>
    <t>Daniel Hawkins</t>
  </si>
  <si>
    <t>Andrew Best</t>
  </si>
  <si>
    <t>2017-12-12</t>
  </si>
  <si>
    <t>Part-Time</t>
  </si>
  <si>
    <t>Elaine Mcclain</t>
  </si>
  <si>
    <t>Gabrielle Rodriguez</t>
  </si>
  <si>
    <t>2017-03-10</t>
  </si>
  <si>
    <t>Allison Harvey</t>
  </si>
  <si>
    <t>2019-03-04</t>
  </si>
  <si>
    <t>Thomas Kramer</t>
  </si>
  <si>
    <t>Tristan Mejia</t>
  </si>
  <si>
    <t>2022-11-20</t>
  </si>
  <si>
    <t>Kevin Whitaker</t>
  </si>
  <si>
    <t>Analyst</t>
  </si>
  <si>
    <t>Mary Welch</t>
  </si>
  <si>
    <t>2021-03-02</t>
  </si>
  <si>
    <t>Dustin Carter</t>
  </si>
  <si>
    <t>Douglas Miles</t>
  </si>
  <si>
    <t>2021-08-01</t>
  </si>
  <si>
    <t>Nicole Williamson</t>
  </si>
  <si>
    <t>Jessica Fleming</t>
  </si>
  <si>
    <t>2015-08-14</t>
  </si>
  <si>
    <t>Matthew Knight</t>
  </si>
  <si>
    <t>Christine Lee</t>
  </si>
  <si>
    <t>2015-10-21</t>
  </si>
  <si>
    <t>Donna Jones</t>
  </si>
  <si>
    <t>Mario Smith DVM</t>
  </si>
  <si>
    <t>2015-03-14</t>
  </si>
  <si>
    <t>Carolyn Bullock</t>
  </si>
  <si>
    <t>Joseph Francis</t>
  </si>
  <si>
    <t>2024-05-22</t>
  </si>
  <si>
    <t>Wendy Gomez</t>
  </si>
  <si>
    <t>Sarah Young</t>
  </si>
  <si>
    <t>2017-03-19</t>
  </si>
  <si>
    <t>Michael Thomas</t>
  </si>
  <si>
    <t>Aaron Hart</t>
  </si>
  <si>
    <t>2021-09-15</t>
  </si>
  <si>
    <t>Kevin Bell</t>
  </si>
  <si>
    <t>Brian Boyd</t>
  </si>
  <si>
    <t>2022-05-09</t>
  </si>
  <si>
    <t>Richard Landry</t>
  </si>
  <si>
    <t>Steven Krueger</t>
  </si>
  <si>
    <t>2017-06-22</t>
  </si>
  <si>
    <t>George Hurley</t>
  </si>
  <si>
    <t>Debra Williams</t>
  </si>
  <si>
    <t>2020-11-28</t>
  </si>
  <si>
    <t>Mark Lopez</t>
  </si>
  <si>
    <t>Karen Mitchell</t>
  </si>
  <si>
    <t>2015-08-30</t>
  </si>
  <si>
    <t>Robert Williams</t>
  </si>
  <si>
    <t>Joseph Sanders</t>
  </si>
  <si>
    <t>2018-10-27</t>
  </si>
  <si>
    <t>Mary Schmidt</t>
  </si>
  <si>
    <t>Shelly George</t>
  </si>
  <si>
    <t>2018-08-26</t>
  </si>
  <si>
    <t>Mary Martinez</t>
  </si>
  <si>
    <t>Nicole Houston</t>
  </si>
  <si>
    <t>2023-07-24</t>
  </si>
  <si>
    <t>Paul Hall</t>
  </si>
  <si>
    <t>Kristin Shaffer</t>
  </si>
  <si>
    <t>2018-07-09</t>
  </si>
  <si>
    <t>Samantha Foster</t>
  </si>
  <si>
    <t>Joel Aguilar</t>
  </si>
  <si>
    <t>2016-12-21</t>
  </si>
  <si>
    <t>Timothy Aguilar</t>
  </si>
  <si>
    <t>Michael Wade</t>
  </si>
  <si>
    <t>2019-06-27</t>
  </si>
  <si>
    <t>Charles Andrews</t>
  </si>
  <si>
    <t>Jessica Walsh</t>
  </si>
  <si>
    <t>2021-08-27</t>
  </si>
  <si>
    <t>Veronica Nelson</t>
  </si>
  <si>
    <t>Kelly Mack</t>
  </si>
  <si>
    <t>2017-05-28</t>
  </si>
  <si>
    <t>Chris Sanchez</t>
  </si>
  <si>
    <t>John Conley</t>
  </si>
  <si>
    <t>2022-01-30</t>
  </si>
  <si>
    <t>Cassie Galvan</t>
  </si>
  <si>
    <t>Aaron Baker</t>
  </si>
  <si>
    <t>2017-04-20</t>
  </si>
  <si>
    <t>Jessica Jones</t>
  </si>
  <si>
    <t>Christopher Bass</t>
  </si>
  <si>
    <t>2019-07-22</t>
  </si>
  <si>
    <t>Emily Walker</t>
  </si>
  <si>
    <t>Sean Tucker PhD</t>
  </si>
  <si>
    <t>2018-11-29</t>
  </si>
  <si>
    <t>Vickie Lewis</t>
  </si>
  <si>
    <t>Jacob Scott</t>
  </si>
  <si>
    <t>2022-11-14</t>
  </si>
  <si>
    <t>Alexis Clark</t>
  </si>
  <si>
    <t>Joel Park</t>
  </si>
  <si>
    <t>2016-02-23</t>
  </si>
  <si>
    <t>Robert Davis</t>
  </si>
  <si>
    <t>Russell Marshall</t>
  </si>
  <si>
    <t>2018-05-18</t>
  </si>
  <si>
    <t>Daniel Brown MD</t>
  </si>
  <si>
    <t>James Holden</t>
  </si>
  <si>
    <t>2024-03-09</t>
  </si>
  <si>
    <t>Anna Payne</t>
  </si>
  <si>
    <t>Thomas Murphy</t>
  </si>
  <si>
    <t>2024-03-27</t>
  </si>
  <si>
    <t>Rhonda Pena</t>
  </si>
  <si>
    <t>Mark Abbott</t>
  </si>
  <si>
    <t>2019-12-23</t>
  </si>
  <si>
    <t>Robin Lynch</t>
  </si>
  <si>
    <t>2016-08-25</t>
  </si>
  <si>
    <t>Henry Taylor</t>
  </si>
  <si>
    <t>Michael Scott</t>
  </si>
  <si>
    <t>2021-05-30</t>
  </si>
  <si>
    <t>Grace Lewis</t>
  </si>
  <si>
    <t>2017-01-24</t>
  </si>
  <si>
    <t>Ava King</t>
  </si>
  <si>
    <t>Sarah Adams</t>
  </si>
  <si>
    <t>2021-03-13</t>
  </si>
  <si>
    <t>Sophia Thomas</t>
  </si>
  <si>
    <t>Robert King</t>
  </si>
  <si>
    <t>2017-08-02</t>
  </si>
  <si>
    <t>Grace Young</t>
  </si>
  <si>
    <t>2017-04-14</t>
  </si>
  <si>
    <t>Mason Walker</t>
  </si>
  <si>
    <t>2022-11-07</t>
  </si>
  <si>
    <t>Henry Wilson</t>
  </si>
  <si>
    <t>Emily Davis</t>
  </si>
  <si>
    <t>2025-01-25</t>
  </si>
  <si>
    <t>Noah Martin</t>
  </si>
  <si>
    <t>John Carter</t>
  </si>
  <si>
    <t>2016-07-18</t>
  </si>
  <si>
    <t>Mason Wilson</t>
  </si>
  <si>
    <t>2020-05-09</t>
  </si>
  <si>
    <t>Lucas Moore</t>
  </si>
  <si>
    <t>2022-07-06</t>
  </si>
  <si>
    <t>Mason Hall</t>
  </si>
  <si>
    <t>2020-02-06</t>
  </si>
  <si>
    <t>Noah Walker</t>
  </si>
  <si>
    <t>2024-11-20</t>
  </si>
  <si>
    <t>Noah Moore</t>
  </si>
  <si>
    <t>2015-09-26</t>
  </si>
  <si>
    <t>Isabella Clark</t>
  </si>
  <si>
    <t>2022-02-15</t>
  </si>
  <si>
    <t>2020-04-24</t>
  </si>
  <si>
    <t>Henry Johnson</t>
  </si>
  <si>
    <t>2021-03-27</t>
  </si>
  <si>
    <t>2019-03-23</t>
  </si>
  <si>
    <t>Mia Lee</t>
  </si>
  <si>
    <t>2016-03-02</t>
  </si>
  <si>
    <t>Ethan King</t>
  </si>
  <si>
    <t>2020-08-03</t>
  </si>
  <si>
    <t>Olivia Brown</t>
  </si>
  <si>
    <t>Lisa Brown</t>
  </si>
  <si>
    <t>2025-06-06</t>
  </si>
  <si>
    <t>Liam King</t>
  </si>
  <si>
    <t>2021-11-05</t>
  </si>
  <si>
    <t>Isabella Thomas</t>
  </si>
  <si>
    <t>Liam Young</t>
  </si>
  <si>
    <t>2020-11-06</t>
  </si>
  <si>
    <t>Ava Martin</t>
  </si>
  <si>
    <t>2025-06-13</t>
  </si>
  <si>
    <t>James Taylor</t>
  </si>
  <si>
    <t>2025-04-01</t>
  </si>
  <si>
    <t>Aria Hall</t>
  </si>
  <si>
    <t>2016-10-12</t>
  </si>
  <si>
    <t>Ava Johnson</t>
  </si>
  <si>
    <t>2018-08-03</t>
  </si>
  <si>
    <t>Sophia King</t>
  </si>
  <si>
    <t>2021-12-03</t>
  </si>
  <si>
    <t>2022-12-30</t>
  </si>
  <si>
    <t>2019-11-01</t>
  </si>
  <si>
    <t>Isabella Johnson</t>
  </si>
  <si>
    <t>2024-04-07</t>
  </si>
  <si>
    <t>Henry Lee</t>
  </si>
  <si>
    <t>2025-04-27</t>
  </si>
  <si>
    <t>Olivia Taylor</t>
  </si>
  <si>
    <t>2020-11-27</t>
  </si>
  <si>
    <t>Liam Hall</t>
  </si>
  <si>
    <t>2025-03-27</t>
  </si>
  <si>
    <t>Emma Taylor</t>
  </si>
  <si>
    <t>2014-08-05</t>
  </si>
  <si>
    <t>Mason Johnson</t>
  </si>
  <si>
    <t>2017-08-03</t>
  </si>
  <si>
    <t>2016-05-17</t>
  </si>
  <si>
    <t>Liam Moore</t>
  </si>
  <si>
    <t>2025-01-12</t>
  </si>
  <si>
    <t>Noah Lee</t>
  </si>
  <si>
    <t>2023-03-07</t>
  </si>
  <si>
    <t>Grace Lee</t>
  </si>
  <si>
    <t>2025-01-07</t>
  </si>
  <si>
    <t>Grace Walker</t>
  </si>
  <si>
    <t>2019-08-18</t>
  </si>
  <si>
    <t>2025-01-18</t>
  </si>
  <si>
    <t>Noah Lewis</t>
  </si>
  <si>
    <t>2022-09-11</t>
  </si>
  <si>
    <t>2021-05-03</t>
  </si>
  <si>
    <t>Henry Moore</t>
  </si>
  <si>
    <t>James Lee</t>
  </si>
  <si>
    <t>2022-10-15</t>
  </si>
  <si>
    <t>2020-07-30</t>
  </si>
  <si>
    <t>Grace Clark</t>
  </si>
  <si>
    <t>2022-04-20</t>
  </si>
  <si>
    <t>Ava Wilson</t>
  </si>
  <si>
    <t>2020-09-17</t>
  </si>
  <si>
    <t>Isabella Smith</t>
  </si>
  <si>
    <t>2016-02-17</t>
  </si>
  <si>
    <t>Count of Employee ID</t>
  </si>
  <si>
    <t>Row Labels</t>
  </si>
  <si>
    <t>Grand Total</t>
  </si>
  <si>
    <t>Average of Performance Rating</t>
  </si>
  <si>
    <t>KPI Section</t>
  </si>
  <si>
    <t>KPI Names</t>
  </si>
  <si>
    <t>Total Employees</t>
  </si>
  <si>
    <t>Avg Performance</t>
  </si>
  <si>
    <t>Part Time Employee</t>
  </si>
  <si>
    <t>Full Time Employee</t>
  </si>
  <si>
    <t>Contract Employee</t>
  </si>
  <si>
    <t>Value</t>
  </si>
  <si>
    <t>Skills Breakdown</t>
  </si>
  <si>
    <t xml:space="preserve">Work Location </t>
  </si>
  <si>
    <t>Total</t>
  </si>
  <si>
    <t>Column Labels</t>
  </si>
  <si>
    <t>Percent %</t>
  </si>
  <si>
    <t>Salaries to Department</t>
  </si>
  <si>
    <t>Sum of Salary</t>
  </si>
  <si>
    <t>Sum of Leave Taken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</si>
</sst>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09]\ #,##0"/>
  </numFmts>
  <fonts count="7">
    <font>
      <sz val="11"/>
      <color theme="1"/>
      <name val="Aptos Narrow"/>
      <family val="2"/>
      <scheme val="minor"/>
    </font>
    <font>
      <b/>
      <sz val="11"/>
      <color theme="1"/>
      <name val="Kulim Park"/>
    </font>
    <font>
      <sz val="11"/>
      <color theme="1"/>
      <name val="Kulim Park"/>
    </font>
    <font>
      <sz val="11"/>
      <color theme="1"/>
      <name val="Aptos Narrow"/>
      <family val="2"/>
      <scheme val="minor"/>
    </font>
    <font>
      <b/>
      <sz val="11"/>
      <color theme="1"/>
      <name val="Aptos Narrow"/>
      <family val="2"/>
      <scheme val="minor"/>
    </font>
    <font>
      <b/>
      <sz val="11"/>
      <name val="Aptos Narrow"/>
      <family val="2"/>
      <scheme val="minor"/>
    </font>
    <font>
      <sz val="11"/>
      <color rgb="FFFFFF00"/>
      <name val="Aptos Narrow"/>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theme="3" tint="0.89999084444715716"/>
        <bgColor indexed="64"/>
      </patternFill>
    </fill>
  </fills>
  <borders count="29">
    <border>
      <left/>
      <right/>
      <top/>
      <bottom/>
      <diagonal/>
    </border>
    <border>
      <left/>
      <right/>
      <top style="thin">
        <color theme="1" tint="0.499984740745262"/>
      </top>
      <bottom style="thin">
        <color theme="1" tint="0.499984740745262"/>
      </bottom>
      <diagonal/>
    </border>
    <border>
      <left/>
      <right/>
      <top style="thin">
        <color theme="1" tint="0.499984740745262"/>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bottom/>
      <diagonal/>
    </border>
    <border>
      <left/>
      <right style="thin">
        <color indexed="64"/>
      </right>
      <top/>
      <bottom/>
      <diagonal/>
    </border>
    <border>
      <left style="thin">
        <color indexed="64"/>
      </left>
      <right style="medium">
        <color indexed="64"/>
      </right>
      <top/>
      <bottom/>
      <diagonal/>
    </border>
  </borders>
  <cellStyleXfs count="2">
    <xf numFmtId="0" fontId="0" fillId="0" borderId="0"/>
    <xf numFmtId="9" fontId="3" fillId="0" borderId="0" applyFont="0" applyFill="0" applyBorder="0" applyAlignment="0" applyProtection="0"/>
  </cellStyleXfs>
  <cellXfs count="47">
    <xf numFmtId="0" fontId="0" fillId="0" borderId="0" xfId="0"/>
    <xf numFmtId="0" fontId="1"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0" fillId="0" borderId="0" xfId="0" pivotButton="1"/>
    <xf numFmtId="0" fontId="0" fillId="0" borderId="0" xfId="0" applyAlignment="1">
      <alignment horizontal="left"/>
    </xf>
    <xf numFmtId="0" fontId="4" fillId="2" borderId="0" xfId="0" applyFont="1" applyFill="1"/>
    <xf numFmtId="0" fontId="4" fillId="2" borderId="0" xfId="0" applyFont="1" applyFill="1" applyAlignment="1">
      <alignment horizontal="center"/>
    </xf>
    <xf numFmtId="0" fontId="0" fillId="0" borderId="5" xfId="0" applyBorder="1"/>
    <xf numFmtId="0" fontId="0" fillId="0" borderId="6" xfId="0" applyBorder="1"/>
    <xf numFmtId="0" fontId="0" fillId="0" borderId="10" xfId="0" applyBorder="1"/>
    <xf numFmtId="0" fontId="0" fillId="0" borderId="11" xfId="0" applyBorder="1"/>
    <xf numFmtId="0" fontId="0" fillId="0" borderId="12" xfId="0" applyBorder="1"/>
    <xf numFmtId="0" fontId="4" fillId="2" borderId="3" xfId="0" applyFont="1" applyFill="1" applyBorder="1"/>
    <xf numFmtId="0" fontId="4" fillId="2" borderId="9" xfId="0" applyFont="1" applyFill="1" applyBorder="1" applyAlignment="1">
      <alignment horizontal="left"/>
    </xf>
    <xf numFmtId="0" fontId="0" fillId="0" borderId="16" xfId="0" applyBorder="1"/>
    <xf numFmtId="0" fontId="4" fillId="2" borderId="17" xfId="0" applyFont="1" applyFill="1" applyBorder="1" applyAlignment="1">
      <alignment horizontal="left"/>
    </xf>
    <xf numFmtId="0" fontId="4" fillId="2" borderId="14" xfId="0" applyFont="1" applyFill="1" applyBorder="1" applyAlignment="1">
      <alignment horizontal="left"/>
    </xf>
    <xf numFmtId="0" fontId="4" fillId="2" borderId="15" xfId="0" applyFont="1" applyFill="1" applyBorder="1" applyAlignment="1">
      <alignment horizontal="left"/>
    </xf>
    <xf numFmtId="9" fontId="0" fillId="0" borderId="4" xfId="0" applyNumberFormat="1" applyBorder="1"/>
    <xf numFmtId="9" fontId="0" fillId="0" borderId="5" xfId="0" applyNumberFormat="1" applyBorder="1"/>
    <xf numFmtId="9" fontId="0" fillId="0" borderId="18" xfId="1" applyFont="1" applyBorder="1"/>
    <xf numFmtId="9" fontId="0" fillId="0" borderId="6" xfId="0" applyNumberFormat="1" applyBorder="1"/>
    <xf numFmtId="9" fontId="0" fillId="0" borderId="19" xfId="1" applyFont="1" applyBorder="1"/>
    <xf numFmtId="9" fontId="0" fillId="0" borderId="20" xfId="1" applyFont="1" applyBorder="1"/>
    <xf numFmtId="9" fontId="0" fillId="0" borderId="21" xfId="1" applyFont="1" applyBorder="1"/>
    <xf numFmtId="9" fontId="0" fillId="0" borderId="22" xfId="1" applyFont="1" applyBorder="1"/>
    <xf numFmtId="9" fontId="0" fillId="0" borderId="7" xfId="0" applyNumberFormat="1" applyBorder="1"/>
    <xf numFmtId="0" fontId="0" fillId="0" borderId="25" xfId="0" applyBorder="1"/>
    <xf numFmtId="0" fontId="0" fillId="0" borderId="21" xfId="0" applyBorder="1"/>
    <xf numFmtId="0" fontId="4" fillId="2" borderId="24" xfId="0" applyFont="1" applyFill="1" applyBorder="1"/>
    <xf numFmtId="0" fontId="4" fillId="2" borderId="23" xfId="0" applyFont="1" applyFill="1" applyBorder="1"/>
    <xf numFmtId="0" fontId="4" fillId="2" borderId="8" xfId="0" applyFont="1" applyFill="1" applyBorder="1"/>
    <xf numFmtId="0" fontId="5" fillId="2" borderId="0" xfId="0" applyFont="1" applyFill="1" applyAlignment="1">
      <alignment horizontal="center"/>
    </xf>
    <xf numFmtId="0" fontId="0" fillId="0" borderId="4" xfId="0" applyBorder="1"/>
    <xf numFmtId="164" fontId="0" fillId="0" borderId="19" xfId="0" applyNumberFormat="1" applyBorder="1"/>
    <xf numFmtId="164" fontId="0" fillId="0" borderId="20" xfId="0" applyNumberFormat="1" applyBorder="1"/>
    <xf numFmtId="164" fontId="0" fillId="0" borderId="21" xfId="0" applyNumberFormat="1" applyBorder="1"/>
    <xf numFmtId="0" fontId="0" fillId="3" borderId="13" xfId="0" applyFill="1" applyBorder="1"/>
    <xf numFmtId="0" fontId="0" fillId="3" borderId="14" xfId="0" applyFill="1" applyBorder="1"/>
    <xf numFmtId="0" fontId="0" fillId="3" borderId="15" xfId="0" applyFill="1" applyBorder="1"/>
    <xf numFmtId="0" fontId="4" fillId="3" borderId="13" xfId="0" applyFont="1" applyFill="1" applyBorder="1"/>
    <xf numFmtId="0" fontId="4" fillId="3" borderId="15" xfId="0" applyFont="1" applyFill="1" applyBorder="1"/>
    <xf numFmtId="0" fontId="6" fillId="0" borderId="0" xfId="0" applyFont="1"/>
    <xf numFmtId="0" fontId="4" fillId="2" borderId="26" xfId="0" applyFont="1" applyFill="1" applyBorder="1" applyAlignment="1">
      <alignment horizontal="left"/>
    </xf>
    <xf numFmtId="164" fontId="0" fillId="0" borderId="27" xfId="0" applyNumberFormat="1" applyFill="1" applyBorder="1"/>
    <xf numFmtId="0" fontId="0" fillId="0" borderId="28" xfId="0" applyFill="1" applyBorder="1"/>
  </cellXfs>
  <cellStyles count="2">
    <cellStyle name="Normal" xfId="0" builtinId="0"/>
    <cellStyle name="Percent" xfId="1" builtinId="5"/>
  </cellStyles>
  <dxfs count="27">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1" tint="0.499984740745262"/>
        </top>
        <bottom style="thin">
          <color theme="1" tint="0.499984740745262"/>
        </bottom>
      </border>
    </dxf>
    <dxf>
      <font>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dxf>
    <dxf>
      <font>
        <b/>
        <strike val="0"/>
        <outline val="0"/>
        <shadow val="0"/>
        <u val="none"/>
        <vertAlign val="baseline"/>
        <sz val="11"/>
        <color theme="1"/>
        <name val="Kulim Park"/>
        <scheme val="none"/>
      </font>
      <fill>
        <patternFill patternType="none">
          <fgColor indexed="64"/>
          <bgColor auto="1"/>
        </patternFill>
      </fill>
      <alignment horizontal="center" vertical="center" textRotation="0" wrapText="0" indent="0" justifyLastLine="0" shrinkToFit="0" readingOrder="0"/>
    </dxf>
    <dxf>
      <fill>
        <patternFill>
          <bgColor theme="1" tint="0.14996795556505021"/>
        </patternFill>
      </fill>
    </dxf>
    <dxf>
      <fill>
        <patternFill patternType="none">
          <bgColor auto="1"/>
        </patternFill>
      </fill>
      <border diagonalUp="0" diagonalDown="0">
        <left/>
        <right/>
        <top/>
        <bottom/>
        <vertical/>
        <horizontal/>
      </border>
    </dxf>
    <dxf>
      <font>
        <b/>
        <i val="0"/>
        <sz val="26"/>
        <color theme="1"/>
      </font>
      <fill>
        <patternFill>
          <bgColor rgb="FFFFFF00"/>
        </patternFill>
      </fill>
      <border diagonalUp="0" diagonalDown="0">
        <left/>
        <right/>
        <top/>
        <bottom/>
        <vertical/>
        <horizontal/>
      </border>
    </dxf>
    <dxf>
      <font>
        <b/>
        <i val="0"/>
        <sz val="20"/>
        <color rgb="FFFFFF00"/>
      </font>
      <fill>
        <patternFill patternType="none">
          <bgColor auto="1"/>
        </patternFill>
      </fill>
      <border diagonalUp="0" diagonalDown="0">
        <left/>
        <right/>
        <top/>
        <bottom/>
        <vertical/>
        <horizontal/>
      </border>
    </dxf>
  </dxfs>
  <tableStyles count="5" defaultTableStyle="TableStyleMedium2" defaultPivotStyle="PivotStyleLight16">
    <tableStyle name="Slicer Style 1" pivot="0" table="0" count="1" xr9:uid="{46BDD43D-79B8-439F-8E23-0E53E3D6E3EC}">
      <tableStyleElement type="wholeTable" dxfId="26"/>
    </tableStyle>
    <tableStyle name="Slicer Style 2" pivot="0" table="0" count="1" xr9:uid="{F762EFD6-06CB-4AB2-BB0C-41AE92981DC6}">
      <tableStyleElement type="wholeTable" dxfId="25"/>
    </tableStyle>
    <tableStyle name="Slicer Style 3" pivot="0" table="0" count="1" xr9:uid="{249D179A-76B7-484E-AF5F-70D34D12068F}"/>
    <tableStyle name="Slicer Style 4" pivot="0" table="0" count="3" xr9:uid="{13535F4C-47F0-457B-BE4A-D7E99BD69F32}">
      <tableStyleElement type="wholeTable" dxfId="24"/>
    </tableStyle>
    <tableStyle name="Slicer Style 5" pivot="0" table="0" count="9" xr9:uid="{63851CD1-461A-4FA3-B6D4-CBC28FDD41F2}">
      <tableStyleElement type="wholeTable" dxfId="23"/>
    </tableStyle>
  </tableStyles>
  <colors>
    <mruColors>
      <color rgb="FFFFFF00"/>
      <color rgb="FFE9DB2B"/>
    </mruColors>
  </colors>
  <extLst>
    <ext xmlns:x14="http://schemas.microsoft.com/office/spreadsheetml/2009/9/main" uri="{46F421CA-312F-682f-3DD2-61675219B42D}">
      <x14:dxfs count="11">
        <dxf>
          <font>
            <b/>
            <i val="0"/>
            <sz val="28"/>
            <color theme="1" tint="0.14996795556505021"/>
          </font>
          <fill>
            <patternFill>
              <fgColor theme="1" tint="0.24994659260841701"/>
              <bgColor rgb="FFFFFF00"/>
            </patternFill>
          </fill>
          <border diagonalUp="0" diagonalDown="0">
            <left/>
            <right/>
            <top/>
            <bottom/>
            <vertical/>
            <horizontal/>
          </border>
        </dxf>
        <dxf>
          <font>
            <b/>
            <i val="0"/>
            <sz val="28"/>
            <color theme="0"/>
          </font>
          <fill>
            <patternFill>
              <fgColor theme="1" tint="0.24994659260841701"/>
              <bgColor theme="1" tint="0.14996795556505021"/>
            </patternFill>
          </fill>
          <border diagonalUp="0" diagonalDown="0">
            <left/>
            <right/>
            <top/>
            <bottom/>
            <vertical/>
            <horizontal/>
          </border>
        </dxf>
        <dxf>
          <font>
            <b/>
            <i val="0"/>
            <sz val="28"/>
            <color theme="1" tint="0.14996795556505021"/>
          </font>
          <fill>
            <patternFill>
              <bgColor rgb="FFFFFF00"/>
            </patternFill>
          </fill>
          <border diagonalUp="0" diagonalDown="0">
            <left/>
            <right/>
            <top/>
            <bottom/>
            <vertical/>
            <horizontal/>
          </border>
        </dxf>
        <dxf>
          <font>
            <b/>
            <i val="0"/>
            <sz val="28"/>
            <color theme="0"/>
          </font>
          <fill>
            <patternFill>
              <fgColor theme="1" tint="0.24994659260841701"/>
              <bgColor theme="1" tint="0.14996795556505021"/>
            </patternFill>
          </fill>
        </dxf>
        <dxf>
          <font>
            <b/>
            <i val="0"/>
            <sz val="28"/>
            <color theme="1" tint="0.14996795556505021"/>
          </font>
          <fill>
            <patternFill>
              <bgColor rgb="FFFFFF00"/>
            </patternFill>
          </fill>
          <border diagonalUp="0" diagonalDown="0">
            <left/>
            <right/>
            <top/>
            <bottom/>
            <vertical/>
            <horizontal/>
          </border>
        </dxf>
        <dxf>
          <font>
            <b/>
            <i val="0"/>
            <sz val="28"/>
            <color theme="1" tint="0.14996795556505021"/>
          </font>
          <fill>
            <patternFill>
              <bgColor rgb="FFFFFF00"/>
            </patternFill>
          </fill>
          <border diagonalUp="0" diagonalDown="0">
            <left/>
            <right/>
            <top/>
            <bottom/>
            <vertical/>
            <horizontal/>
          </border>
        </dxf>
        <dxf>
          <font>
            <b/>
            <i val="0"/>
            <sz val="28"/>
            <color theme="0"/>
          </font>
          <fill>
            <patternFill>
              <bgColor theme="1" tint="0.14996795556505021"/>
            </patternFill>
          </fill>
        </dxf>
        <dxf>
          <font>
            <b/>
            <i val="0"/>
            <sz val="28"/>
            <color theme="0"/>
          </font>
          <fill>
            <patternFill>
              <bgColor theme="1" tint="0.14996795556505021"/>
            </patternFill>
          </fill>
        </dxf>
        <dxf>
          <fill>
            <patternFill patternType="none">
              <bgColor auto="1"/>
            </patternFill>
          </fill>
          <border diagonalUp="0" diagonalDown="0">
            <left/>
            <right/>
            <top/>
            <bottom/>
            <vertical/>
            <horizontal/>
          </border>
        </dxf>
        <dxf>
          <font>
            <b/>
            <i val="0"/>
            <sz val="28"/>
          </font>
          <fill>
            <patternFill>
              <bgColor rgb="FFFFFF00"/>
            </patternFill>
          </fill>
          <border diagonalUp="0" diagonalDown="0">
            <left/>
            <right/>
            <top/>
            <bottom/>
            <vertical/>
            <horizontal/>
          </border>
        </dxf>
        <dxf>
          <font>
            <b/>
            <i val="0"/>
            <sz val="28"/>
            <color theme="1"/>
          </font>
          <fill>
            <patternFill>
              <bgColor rgb="FFFFFF0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 Style 4">
          <x14:slicerStyleElements>
            <x14:slicerStyleElement type="selectedItemWithData" dxfId="9"/>
            <x14:slicerStyleElement type="selectedItemWithNoData" dxfId="8"/>
          </x14:slicerStyleElements>
        </x14:slicerStyle>
        <x14:slicerStyle name="Slicer Style 5">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Pivot!$H$3</c:f>
              <c:strCache>
                <c:ptCount val="1"/>
                <c:pt idx="0">
                  <c:v>Total</c:v>
                </c:pt>
              </c:strCache>
            </c:strRef>
          </c:tx>
          <c:spPr>
            <a:solidFill>
              <a:schemeClr val="accent1"/>
            </a:solidFill>
            <a:ln>
              <a:noFill/>
            </a:ln>
            <a:effectLst/>
          </c:spPr>
          <c:invertIfNegative val="0"/>
          <c:cat>
            <c:strRef>
              <c:f>Pivot!$G$4:$G$9</c:f>
              <c:strCache>
                <c:ptCount val="5"/>
                <c:pt idx="0">
                  <c:v>Design</c:v>
                </c:pt>
                <c:pt idx="1">
                  <c:v>Python</c:v>
                </c:pt>
                <c:pt idx="2">
                  <c:v>Management</c:v>
                </c:pt>
                <c:pt idx="3">
                  <c:v>Communication</c:v>
                </c:pt>
                <c:pt idx="4">
                  <c:v>Excel</c:v>
                </c:pt>
              </c:strCache>
            </c:strRef>
          </c:cat>
          <c:val>
            <c:numRef>
              <c:f>Pivot!$H$4:$H$9</c:f>
              <c:numCache>
                <c:formatCode>General</c:formatCode>
                <c:ptCount val="5"/>
                <c:pt idx="0">
                  <c:v>25</c:v>
                </c:pt>
                <c:pt idx="1">
                  <c:v>22</c:v>
                </c:pt>
                <c:pt idx="2">
                  <c:v>19</c:v>
                </c:pt>
                <c:pt idx="3">
                  <c:v>19</c:v>
                </c:pt>
                <c:pt idx="4">
                  <c:v>15</c:v>
                </c:pt>
              </c:numCache>
            </c:numRef>
          </c:val>
          <c:extLst>
            <c:ext xmlns:c16="http://schemas.microsoft.com/office/drawing/2014/chart" uri="{C3380CC4-5D6E-409C-BE32-E72D297353CC}">
              <c16:uniqueId val="{00000000-7D35-47A4-B9EA-A8B4D5C47E8C}"/>
            </c:ext>
          </c:extLst>
        </c:ser>
        <c:dLbls>
          <c:showLegendKey val="0"/>
          <c:showVal val="0"/>
          <c:showCatName val="0"/>
          <c:showSerName val="0"/>
          <c:showPercent val="0"/>
          <c:showBubbleSize val="0"/>
        </c:dLbls>
        <c:gapWidth val="182"/>
        <c:axId val="1044052320"/>
        <c:axId val="951613440"/>
      </c:barChart>
      <c:catAx>
        <c:axId val="1044052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613440"/>
        <c:crosses val="autoZero"/>
        <c:auto val="1"/>
        <c:lblAlgn val="ctr"/>
        <c:lblOffset val="100"/>
        <c:noMultiLvlLbl val="0"/>
      </c:catAx>
      <c:valAx>
        <c:axId val="951613440"/>
        <c:scaling>
          <c:orientation val="minMax"/>
        </c:scaling>
        <c:delete val="1"/>
        <c:axPos val="b"/>
        <c:numFmt formatCode="General" sourceLinked="1"/>
        <c:majorTickMark val="none"/>
        <c:minorTickMark val="none"/>
        <c:tickLblPos val="nextTo"/>
        <c:crossAx val="104405232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D16-4184-B346-AC902AA6E6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D16-4184-B346-AC902AA6E65B}"/>
              </c:ext>
            </c:extLst>
          </c:dPt>
          <c:val>
            <c:numRef>
              <c:f>Pivot!$P$15:$Q$15</c:f>
              <c:numCache>
                <c:formatCode>0%</c:formatCode>
                <c:ptCount val="2"/>
                <c:pt idx="0">
                  <c:v>0.49</c:v>
                </c:pt>
                <c:pt idx="1">
                  <c:v>0.51</c:v>
                </c:pt>
              </c:numCache>
            </c:numRef>
          </c:val>
          <c:extLst>
            <c:ext xmlns:c16="http://schemas.microsoft.com/office/drawing/2014/chart" uri="{C3380CC4-5D6E-409C-BE32-E72D297353CC}">
              <c16:uniqueId val="{00000000-89C5-401D-AEC9-22AEF7ECAF5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Dashboard.xlsm]Pivot!PivotTable5</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Pivot!$N$3:$N$4</c:f>
              <c:strCache>
                <c:ptCount val="1"/>
                <c:pt idx="0">
                  <c:v>Female</c:v>
                </c:pt>
              </c:strCache>
            </c:strRef>
          </c:tx>
          <c:spPr>
            <a:solidFill>
              <a:schemeClr val="accent1"/>
            </a:solidFill>
            <a:ln>
              <a:noFill/>
            </a:ln>
            <a:effectLst/>
          </c:spPr>
          <c:invertIfNegative val="0"/>
          <c:cat>
            <c:strRef>
              <c:f>Pivot!$M$5:$M$10</c:f>
              <c:strCache>
                <c:ptCount val="5"/>
                <c:pt idx="0">
                  <c:v>18-25</c:v>
                </c:pt>
                <c:pt idx="1">
                  <c:v>26-35</c:v>
                </c:pt>
                <c:pt idx="2">
                  <c:v>36-45</c:v>
                </c:pt>
                <c:pt idx="3">
                  <c:v>46-55</c:v>
                </c:pt>
                <c:pt idx="4">
                  <c:v>56 &lt;</c:v>
                </c:pt>
              </c:strCache>
            </c:strRef>
          </c:cat>
          <c:val>
            <c:numRef>
              <c:f>Pivot!$N$5:$N$10</c:f>
              <c:numCache>
                <c:formatCode>General</c:formatCode>
                <c:ptCount val="5"/>
                <c:pt idx="0">
                  <c:v>8</c:v>
                </c:pt>
                <c:pt idx="1">
                  <c:v>14</c:v>
                </c:pt>
                <c:pt idx="2">
                  <c:v>11</c:v>
                </c:pt>
                <c:pt idx="3">
                  <c:v>8</c:v>
                </c:pt>
                <c:pt idx="4">
                  <c:v>8</c:v>
                </c:pt>
              </c:numCache>
            </c:numRef>
          </c:val>
          <c:extLst>
            <c:ext xmlns:c16="http://schemas.microsoft.com/office/drawing/2014/chart" uri="{C3380CC4-5D6E-409C-BE32-E72D297353CC}">
              <c16:uniqueId val="{00000000-5106-48C6-8C21-AC110FAF08C1}"/>
            </c:ext>
          </c:extLst>
        </c:ser>
        <c:ser>
          <c:idx val="1"/>
          <c:order val="1"/>
          <c:tx>
            <c:strRef>
              <c:f>Pivot!$O$3:$O$4</c:f>
              <c:strCache>
                <c:ptCount val="1"/>
                <c:pt idx="0">
                  <c:v>Male</c:v>
                </c:pt>
              </c:strCache>
            </c:strRef>
          </c:tx>
          <c:spPr>
            <a:solidFill>
              <a:schemeClr val="accent2"/>
            </a:solidFill>
            <a:ln>
              <a:noFill/>
            </a:ln>
            <a:effectLst/>
          </c:spPr>
          <c:invertIfNegative val="0"/>
          <c:cat>
            <c:strRef>
              <c:f>Pivot!$M$5:$M$10</c:f>
              <c:strCache>
                <c:ptCount val="5"/>
                <c:pt idx="0">
                  <c:v>18-25</c:v>
                </c:pt>
                <c:pt idx="1">
                  <c:v>26-35</c:v>
                </c:pt>
                <c:pt idx="2">
                  <c:v>36-45</c:v>
                </c:pt>
                <c:pt idx="3">
                  <c:v>46-55</c:v>
                </c:pt>
                <c:pt idx="4">
                  <c:v>56 &lt;</c:v>
                </c:pt>
              </c:strCache>
            </c:strRef>
          </c:cat>
          <c:val>
            <c:numRef>
              <c:f>Pivot!$O$5:$O$10</c:f>
              <c:numCache>
                <c:formatCode>General</c:formatCode>
                <c:ptCount val="5"/>
                <c:pt idx="0">
                  <c:v>7</c:v>
                </c:pt>
                <c:pt idx="1">
                  <c:v>11</c:v>
                </c:pt>
                <c:pt idx="2">
                  <c:v>15</c:v>
                </c:pt>
                <c:pt idx="3">
                  <c:v>11</c:v>
                </c:pt>
                <c:pt idx="4">
                  <c:v>7</c:v>
                </c:pt>
              </c:numCache>
            </c:numRef>
          </c:val>
          <c:extLst>
            <c:ext xmlns:c16="http://schemas.microsoft.com/office/drawing/2014/chart" uri="{C3380CC4-5D6E-409C-BE32-E72D297353CC}">
              <c16:uniqueId val="{00000003-97C7-4AC4-AE13-C23E9FA30736}"/>
            </c:ext>
          </c:extLst>
        </c:ser>
        <c:dLbls>
          <c:showLegendKey val="0"/>
          <c:showVal val="0"/>
          <c:showCatName val="0"/>
          <c:showSerName val="0"/>
          <c:showPercent val="0"/>
          <c:showBubbleSize val="0"/>
        </c:dLbls>
        <c:gapWidth val="219"/>
        <c:overlap val="-27"/>
        <c:axId val="253939503"/>
        <c:axId val="293806943"/>
      </c:barChart>
      <c:catAx>
        <c:axId val="253939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806943"/>
        <c:crosses val="autoZero"/>
        <c:auto val="1"/>
        <c:lblAlgn val="ctr"/>
        <c:lblOffset val="100"/>
        <c:noMultiLvlLbl val="0"/>
      </c:catAx>
      <c:valAx>
        <c:axId val="293806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939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Pivot!$K$3</c:f>
              <c:strCache>
                <c:ptCount val="1"/>
                <c:pt idx="0">
                  <c:v>Total</c:v>
                </c:pt>
              </c:strCache>
            </c:strRef>
          </c:tx>
          <c:spPr>
            <a:solidFill>
              <a:schemeClr val="accent1"/>
            </a:solidFill>
            <a:ln>
              <a:noFill/>
            </a:ln>
            <a:effectLst/>
          </c:spPr>
          <c:invertIfNegative val="0"/>
          <c:cat>
            <c:strRef>
              <c:f>Pivot!$J$4:$J$7</c:f>
              <c:strCache>
                <c:ptCount val="3"/>
                <c:pt idx="0">
                  <c:v>Branch Office</c:v>
                </c:pt>
                <c:pt idx="1">
                  <c:v>Head Office</c:v>
                </c:pt>
                <c:pt idx="2">
                  <c:v>Remote</c:v>
                </c:pt>
              </c:strCache>
            </c:strRef>
          </c:cat>
          <c:val>
            <c:numRef>
              <c:f>Pivot!$K$4:$K$7</c:f>
              <c:numCache>
                <c:formatCode>General</c:formatCode>
                <c:ptCount val="3"/>
                <c:pt idx="0">
                  <c:v>38</c:v>
                </c:pt>
                <c:pt idx="1">
                  <c:v>30</c:v>
                </c:pt>
                <c:pt idx="2">
                  <c:v>32</c:v>
                </c:pt>
              </c:numCache>
            </c:numRef>
          </c:val>
          <c:extLst>
            <c:ext xmlns:c16="http://schemas.microsoft.com/office/drawing/2014/chart" uri="{C3380CC4-5D6E-409C-BE32-E72D297353CC}">
              <c16:uniqueId val="{00000000-81E4-4E23-85AA-B942F8CC77FA}"/>
            </c:ext>
          </c:extLst>
        </c:ser>
        <c:dLbls>
          <c:showLegendKey val="0"/>
          <c:showVal val="0"/>
          <c:showCatName val="0"/>
          <c:showSerName val="0"/>
          <c:showPercent val="0"/>
          <c:showBubbleSize val="0"/>
        </c:dLbls>
        <c:gapWidth val="150"/>
        <c:overlap val="100"/>
        <c:axId val="296738591"/>
        <c:axId val="293802143"/>
      </c:barChart>
      <c:catAx>
        <c:axId val="296738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802143"/>
        <c:crosses val="autoZero"/>
        <c:auto val="1"/>
        <c:lblAlgn val="ctr"/>
        <c:lblOffset val="100"/>
        <c:noMultiLvlLbl val="0"/>
      </c:catAx>
      <c:valAx>
        <c:axId val="2938021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738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spPr>
            <a:solidFill>
              <a:schemeClr val="accent1"/>
            </a:solidFill>
            <a:ln>
              <a:noFill/>
            </a:ln>
            <a:effectLst/>
          </c:spPr>
          <c:invertIfNegative val="0"/>
          <c:cat>
            <c:strRef>
              <c:f>Pivot!$J$16:$J$18</c:f>
              <c:strCache>
                <c:ptCount val="3"/>
                <c:pt idx="0">
                  <c:v>Branch Office</c:v>
                </c:pt>
                <c:pt idx="1">
                  <c:v>Head Office</c:v>
                </c:pt>
                <c:pt idx="2">
                  <c:v>Remote</c:v>
                </c:pt>
              </c:strCache>
            </c:strRef>
          </c:cat>
          <c:val>
            <c:numRef>
              <c:f>Pivot!$K$16:$K$18</c:f>
              <c:numCache>
                <c:formatCode>0%</c:formatCode>
                <c:ptCount val="3"/>
                <c:pt idx="0">
                  <c:v>0.38</c:v>
                </c:pt>
                <c:pt idx="1">
                  <c:v>0.3</c:v>
                </c:pt>
                <c:pt idx="2">
                  <c:v>0.32</c:v>
                </c:pt>
              </c:numCache>
            </c:numRef>
          </c:val>
          <c:extLst>
            <c:ext xmlns:c16="http://schemas.microsoft.com/office/drawing/2014/chart" uri="{C3380CC4-5D6E-409C-BE32-E72D297353CC}">
              <c16:uniqueId val="{00000000-2117-4EE3-8FF5-1566F5216A0A}"/>
            </c:ext>
          </c:extLst>
        </c:ser>
        <c:ser>
          <c:idx val="1"/>
          <c:order val="1"/>
          <c:spPr>
            <a:solidFill>
              <a:schemeClr val="accent2"/>
            </a:solidFill>
            <a:ln>
              <a:noFill/>
            </a:ln>
            <a:effectLst/>
          </c:spPr>
          <c:invertIfNegative val="0"/>
          <c:cat>
            <c:strRef>
              <c:f>Pivot!$J$16:$J$18</c:f>
              <c:strCache>
                <c:ptCount val="3"/>
                <c:pt idx="0">
                  <c:v>Branch Office</c:v>
                </c:pt>
                <c:pt idx="1">
                  <c:v>Head Office</c:v>
                </c:pt>
                <c:pt idx="2">
                  <c:v>Remote</c:v>
                </c:pt>
              </c:strCache>
            </c:strRef>
          </c:cat>
          <c:val>
            <c:numRef>
              <c:f>Pivot!$L$16:$L$18</c:f>
              <c:numCache>
                <c:formatCode>0%</c:formatCode>
                <c:ptCount val="3"/>
                <c:pt idx="0">
                  <c:v>0.62</c:v>
                </c:pt>
                <c:pt idx="1">
                  <c:v>0.7</c:v>
                </c:pt>
                <c:pt idx="2">
                  <c:v>0.67999999999999994</c:v>
                </c:pt>
              </c:numCache>
            </c:numRef>
          </c:val>
          <c:extLst>
            <c:ext xmlns:c16="http://schemas.microsoft.com/office/drawing/2014/chart" uri="{C3380CC4-5D6E-409C-BE32-E72D297353CC}">
              <c16:uniqueId val="{00000001-2117-4EE3-8FF5-1566F5216A0A}"/>
            </c:ext>
          </c:extLst>
        </c:ser>
        <c:dLbls>
          <c:showLegendKey val="0"/>
          <c:showVal val="0"/>
          <c:showCatName val="0"/>
          <c:showSerName val="0"/>
          <c:showPercent val="0"/>
          <c:showBubbleSize val="0"/>
        </c:dLbls>
        <c:gapWidth val="150"/>
        <c:overlap val="100"/>
        <c:axId val="323591167"/>
        <c:axId val="293822783"/>
      </c:barChart>
      <c:catAx>
        <c:axId val="323591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822783"/>
        <c:crosses val="autoZero"/>
        <c:auto val="1"/>
        <c:lblAlgn val="ctr"/>
        <c:lblOffset val="100"/>
        <c:noMultiLvlLbl val="0"/>
      </c:catAx>
      <c:valAx>
        <c:axId val="29382278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591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Pivot!$S$12:$S$16</c:f>
              <c:strCache>
                <c:ptCount val="5"/>
                <c:pt idx="0">
                  <c:v>Analyst</c:v>
                </c:pt>
                <c:pt idx="1">
                  <c:v>Designer</c:v>
                </c:pt>
                <c:pt idx="2">
                  <c:v>Developer</c:v>
                </c:pt>
                <c:pt idx="3">
                  <c:v>HR Specialist</c:v>
                </c:pt>
                <c:pt idx="4">
                  <c:v>Manager</c:v>
                </c:pt>
              </c:strCache>
            </c:strRef>
          </c:cat>
          <c:val>
            <c:numRef>
              <c:f>Pivot!$U$12:$U$16</c:f>
              <c:numCache>
                <c:formatCode>General</c:formatCode>
                <c:ptCount val="5"/>
                <c:pt idx="0">
                  <c:v>207</c:v>
                </c:pt>
                <c:pt idx="1">
                  <c:v>159</c:v>
                </c:pt>
                <c:pt idx="2">
                  <c:v>212</c:v>
                </c:pt>
                <c:pt idx="3">
                  <c:v>234</c:v>
                </c:pt>
                <c:pt idx="4">
                  <c:v>238</c:v>
                </c:pt>
              </c:numCache>
            </c:numRef>
          </c:val>
          <c:extLst>
            <c:ext xmlns:c16="http://schemas.microsoft.com/office/drawing/2014/chart" uri="{C3380CC4-5D6E-409C-BE32-E72D297353CC}">
              <c16:uniqueId val="{00000000-3C87-4EDD-8918-E3BA4A76F65F}"/>
            </c:ext>
          </c:extLst>
        </c:ser>
        <c:dLbls>
          <c:showLegendKey val="0"/>
          <c:showVal val="0"/>
          <c:showCatName val="0"/>
          <c:showSerName val="0"/>
          <c:showPercent val="0"/>
          <c:showBubbleSize val="0"/>
        </c:dLbls>
        <c:gapWidth val="219"/>
        <c:overlap val="-27"/>
        <c:axId val="257553487"/>
        <c:axId val="293795903"/>
      </c:barChart>
      <c:catAx>
        <c:axId val="257553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795903"/>
        <c:crosses val="autoZero"/>
        <c:auto val="1"/>
        <c:lblAlgn val="ctr"/>
        <c:lblOffset val="100"/>
        <c:noMultiLvlLbl val="0"/>
      </c:catAx>
      <c:valAx>
        <c:axId val="293795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5534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BED-46EC-B84A-58C57F39A6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BED-46EC-B84A-58C57F39A6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BED-46EC-B84A-58C57F39A6AF}"/>
              </c:ext>
            </c:extLst>
          </c:dPt>
          <c:cat>
            <c:strRef>
              <c:f>Pivot!$A$4:$A$7</c:f>
              <c:strCache>
                <c:ptCount val="3"/>
                <c:pt idx="0">
                  <c:v>Contract</c:v>
                </c:pt>
                <c:pt idx="1">
                  <c:v>Full-Time</c:v>
                </c:pt>
                <c:pt idx="2">
                  <c:v>Part-Time</c:v>
                </c:pt>
              </c:strCache>
            </c:strRef>
          </c:cat>
          <c:val>
            <c:numRef>
              <c:f>Pivot!$B$4:$B$7</c:f>
              <c:numCache>
                <c:formatCode>General</c:formatCode>
                <c:ptCount val="3"/>
                <c:pt idx="0">
                  <c:v>31</c:v>
                </c:pt>
                <c:pt idx="1">
                  <c:v>41</c:v>
                </c:pt>
                <c:pt idx="2">
                  <c:v>28</c:v>
                </c:pt>
              </c:numCache>
            </c:numRef>
          </c:val>
          <c:extLst>
            <c:ext xmlns:c16="http://schemas.microsoft.com/office/drawing/2014/chart" uri="{C3380CC4-5D6E-409C-BE32-E72D297353CC}">
              <c16:uniqueId val="{00000000-0AC4-4889-B394-5EF3A81BE1A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Pivot!$W$3</c:f>
              <c:strCache>
                <c:ptCount val="1"/>
                <c:pt idx="0">
                  <c:v>Total</c:v>
                </c:pt>
              </c:strCache>
            </c:strRef>
          </c:tx>
          <c:spPr>
            <a:solidFill>
              <a:schemeClr val="accent1"/>
            </a:solidFill>
            <a:ln>
              <a:noFill/>
            </a:ln>
            <a:effectLst/>
          </c:spPr>
          <c:invertIfNegative val="0"/>
          <c:cat>
            <c:strRef>
              <c:f>Pivot!$V$4:$V$9</c:f>
              <c:strCache>
                <c:ptCount val="5"/>
                <c:pt idx="0">
                  <c:v>Central</c:v>
                </c:pt>
                <c:pt idx="1">
                  <c:v>East</c:v>
                </c:pt>
                <c:pt idx="2">
                  <c:v>North</c:v>
                </c:pt>
                <c:pt idx="3">
                  <c:v>South</c:v>
                </c:pt>
                <c:pt idx="4">
                  <c:v>West</c:v>
                </c:pt>
              </c:strCache>
            </c:strRef>
          </c:cat>
          <c:val>
            <c:numRef>
              <c:f>Pivot!$W$4:$W$9</c:f>
              <c:numCache>
                <c:formatCode>General</c:formatCode>
                <c:ptCount val="5"/>
                <c:pt idx="0">
                  <c:v>26</c:v>
                </c:pt>
                <c:pt idx="1">
                  <c:v>19</c:v>
                </c:pt>
                <c:pt idx="2">
                  <c:v>17</c:v>
                </c:pt>
                <c:pt idx="3">
                  <c:v>24</c:v>
                </c:pt>
                <c:pt idx="4">
                  <c:v>14</c:v>
                </c:pt>
              </c:numCache>
            </c:numRef>
          </c:val>
          <c:extLst>
            <c:ext xmlns:c16="http://schemas.microsoft.com/office/drawing/2014/chart" uri="{C3380CC4-5D6E-409C-BE32-E72D297353CC}">
              <c16:uniqueId val="{00000000-A8BF-4AC4-B178-0C517DF3E796}"/>
            </c:ext>
          </c:extLst>
        </c:ser>
        <c:dLbls>
          <c:showLegendKey val="0"/>
          <c:showVal val="0"/>
          <c:showCatName val="0"/>
          <c:showSerName val="0"/>
          <c:showPercent val="0"/>
          <c:showBubbleSize val="0"/>
        </c:dLbls>
        <c:gapWidth val="182"/>
        <c:axId val="316683839"/>
        <c:axId val="25189503"/>
      </c:barChart>
      <c:catAx>
        <c:axId val="316683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189503"/>
        <c:crosses val="autoZero"/>
        <c:auto val="1"/>
        <c:lblAlgn val="ctr"/>
        <c:lblOffset val="100"/>
        <c:noMultiLvlLbl val="0"/>
      </c:catAx>
      <c:valAx>
        <c:axId val="251895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6683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Dashboard.xlsm]Pivot!PivotTable3</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w="63500">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dLbl>
          <c:idx val="0"/>
          <c:tx>
            <c:rich>
              <a:bodyPr rot="0" spcFirstLastPara="1" vertOverflow="ellipsis" vert="horz" wrap="square" lIns="38100" tIns="19050" rIns="38100" bIns="19050" anchor="ctr" anchorCtr="1">
                <a:noAutofit/>
              </a:bodyPr>
              <a:lstStyle/>
              <a:p>
                <a:pPr>
                  <a:defRPr sz="2500" b="1" i="0" u="none" strike="noStrike" kern="1200" baseline="0">
                    <a:solidFill>
                      <a:schemeClr val="tx1">
                        <a:lumMod val="75000"/>
                        <a:lumOff val="25000"/>
                      </a:schemeClr>
                    </a:solidFill>
                    <a:latin typeface="+mn-lt"/>
                    <a:ea typeface="+mn-ea"/>
                    <a:cs typeface="+mn-cs"/>
                  </a:defRPr>
                </a:pPr>
                <a:fld id="{16CEB0F7-1663-4774-9780-3A2C3ED5482E}" type="VALUE">
                  <a:rPr lang="en-US" sz="2500" b="1">
                    <a:solidFill>
                      <a:schemeClr val="bg1"/>
                    </a:solidFill>
                  </a:rPr>
                  <a:pPr>
                    <a:defRPr sz="2500" b="1"/>
                  </a:pPr>
                  <a:t>[VALUE]</a:t>
                </a:fld>
                <a:endParaRPr lang="en-US"/>
              </a:p>
            </c:rich>
          </c:tx>
          <c:spPr>
            <a:noFill/>
            <a:ln w="63500">
              <a:noFill/>
            </a:ln>
            <a:effectLst/>
          </c:spPr>
          <c:txPr>
            <a:bodyPr rot="0" spcFirstLastPara="1" vertOverflow="ellipsis" vert="horz" wrap="square" lIns="38100" tIns="19050" rIns="38100" bIns="19050" anchor="ctr" anchorCtr="1">
              <a:noAutofit/>
            </a:bodyPr>
            <a:lstStyle/>
            <a:p>
              <a:pPr>
                <a:defRPr sz="25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15:dlblFieldTable/>
              <c15:showDataLabelsRange val="0"/>
            </c:ext>
          </c:extLst>
        </c:dLbl>
      </c:pivotFmt>
      <c:pivotFmt>
        <c:idx val="4"/>
        <c:spPr>
          <a:solidFill>
            <a:srgbClr val="FFFF00"/>
          </a:solidFill>
          <a:ln>
            <a:noFill/>
          </a:ln>
          <a:effectLst/>
        </c:spPr>
        <c:dLbl>
          <c:idx val="0"/>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D95F476-EED6-435A-9D25-3551B5ED307D}" type="VALUE">
                  <a:rPr lang="en-US" sz="2500" b="1">
                    <a:solidFill>
                      <a:schemeClr val="bg1"/>
                    </a:solidFill>
                  </a:rPr>
                  <a:pPr>
                    <a:defRPr/>
                  </a:pPr>
                  <a:t>[VALUE]</a:t>
                </a:fld>
                <a:endParaRPr lang="en-US"/>
              </a:p>
            </c:rich>
          </c:tx>
          <c:spPr>
            <a:noFill/>
            <a:ln w="63500">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15:dlblFieldTable/>
              <c15:showDataLabelsRange val="0"/>
            </c:ext>
          </c:extLst>
        </c:dLbl>
      </c:pivotFmt>
      <c:pivotFmt>
        <c:idx val="5"/>
        <c:spPr>
          <a:solidFill>
            <a:srgbClr val="FFFF00"/>
          </a:solidFill>
          <a:ln>
            <a:noFill/>
          </a:ln>
          <a:effectLst/>
        </c:spPr>
        <c:dLbl>
          <c:idx val="0"/>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420E6A4-8F56-49E5-8951-1EE233FCD587}" type="VALUE">
                  <a:rPr lang="en-US" sz="2500" b="1">
                    <a:solidFill>
                      <a:schemeClr val="bg1"/>
                    </a:solidFill>
                  </a:rPr>
                  <a:pPr>
                    <a:defRPr/>
                  </a:pPr>
                  <a:t>[VALUE]</a:t>
                </a:fld>
                <a:endParaRPr lang="en-US"/>
              </a:p>
            </c:rich>
          </c:tx>
          <c:spPr>
            <a:noFill/>
            <a:ln w="63500">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15:dlblFieldTable/>
              <c15:showDataLabelsRange val="0"/>
            </c:ext>
          </c:extLst>
        </c:dLbl>
      </c:pivotFmt>
      <c:pivotFmt>
        <c:idx val="6"/>
        <c:spPr>
          <a:solidFill>
            <a:srgbClr val="FFFF00"/>
          </a:solidFill>
          <a:ln>
            <a:noFill/>
          </a:ln>
          <a:effectLst/>
        </c:spPr>
        <c:dLbl>
          <c:idx val="0"/>
          <c:spPr>
            <a:noFill/>
            <a:ln w="63500">
              <a:noFill/>
            </a:ln>
            <a:effectLst/>
          </c:spPr>
          <c:txPr>
            <a:bodyPr rot="0" spcFirstLastPara="1" vertOverflow="ellipsis" vert="horz" wrap="square" lIns="38100" tIns="19050" rIns="38100" bIns="19050" anchor="ctr" anchorCtr="1">
              <a:noAutofit/>
            </a:bodyPr>
            <a:lstStyle/>
            <a:p>
              <a:pPr>
                <a:defRPr sz="25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ext>
          </c:extLst>
        </c:dLbl>
      </c:pivotFmt>
      <c:pivotFmt>
        <c:idx val="7"/>
        <c:spPr>
          <a:solidFill>
            <a:srgbClr val="FFFF00"/>
          </a:solidFill>
          <a:ln>
            <a:noFill/>
          </a:ln>
          <a:effectLst/>
        </c:spPr>
        <c:dLbl>
          <c:idx val="0"/>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5948411B-229D-4FEF-8B71-C14E2FF9D2DC}" type="VALUE">
                  <a:rPr lang="en-US" sz="2500" b="1">
                    <a:solidFill>
                      <a:schemeClr val="bg1"/>
                    </a:solidFill>
                  </a:rPr>
                  <a:pPr>
                    <a:defRPr/>
                  </a:pPr>
                  <a:t>[VALUE]</a:t>
                </a:fld>
                <a:endParaRPr lang="en-US"/>
              </a:p>
            </c:rich>
          </c:tx>
          <c:spPr>
            <a:noFill/>
            <a:ln w="63500">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15:dlblFieldTable/>
              <c15:showDataLabelsRange val="0"/>
            </c:ext>
          </c:extLst>
        </c:dLbl>
      </c:pivotFmt>
    </c:pivotFmts>
    <c:plotArea>
      <c:layout/>
      <c:barChart>
        <c:barDir val="bar"/>
        <c:grouping val="clustered"/>
        <c:varyColors val="0"/>
        <c:ser>
          <c:idx val="0"/>
          <c:order val="0"/>
          <c:tx>
            <c:strRef>
              <c:f>Pivot!$H$3</c:f>
              <c:strCache>
                <c:ptCount val="1"/>
                <c:pt idx="0">
                  <c:v>Total</c:v>
                </c:pt>
              </c:strCache>
            </c:strRef>
          </c:tx>
          <c:spPr>
            <a:solidFill>
              <a:srgbClr val="FFFF0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5-F2B2-41A6-B521-559FF5BD16D3}"/>
              </c:ext>
            </c:extLst>
          </c:dPt>
          <c:dPt>
            <c:idx val="1"/>
            <c:invertIfNegative val="0"/>
            <c:bubble3D val="0"/>
            <c:spPr>
              <a:solidFill>
                <a:srgbClr val="FFFF00"/>
              </a:solidFill>
              <a:ln>
                <a:noFill/>
              </a:ln>
              <a:effectLst/>
            </c:spPr>
            <c:extLst>
              <c:ext xmlns:c16="http://schemas.microsoft.com/office/drawing/2014/chart" uri="{C3380CC4-5D6E-409C-BE32-E72D297353CC}">
                <c16:uniqueId val="{00000004-F2B2-41A6-B521-559FF5BD16D3}"/>
              </c:ext>
            </c:extLst>
          </c:dPt>
          <c:dPt>
            <c:idx val="2"/>
            <c:invertIfNegative val="0"/>
            <c:bubble3D val="0"/>
            <c:spPr>
              <a:solidFill>
                <a:srgbClr val="FFFF00"/>
              </a:solidFill>
              <a:ln>
                <a:noFill/>
              </a:ln>
              <a:effectLst/>
            </c:spPr>
            <c:extLst>
              <c:ext xmlns:c16="http://schemas.microsoft.com/office/drawing/2014/chart" uri="{C3380CC4-5D6E-409C-BE32-E72D297353CC}">
                <c16:uniqueId val="{00000001-F2B2-41A6-B521-559FF5BD16D3}"/>
              </c:ext>
            </c:extLst>
          </c:dPt>
          <c:dPt>
            <c:idx val="3"/>
            <c:invertIfNegative val="0"/>
            <c:bubble3D val="0"/>
            <c:spPr>
              <a:solidFill>
                <a:srgbClr val="FFFF00"/>
              </a:solidFill>
              <a:ln>
                <a:noFill/>
              </a:ln>
              <a:effectLst/>
            </c:spPr>
            <c:extLst>
              <c:ext xmlns:c16="http://schemas.microsoft.com/office/drawing/2014/chart" uri="{C3380CC4-5D6E-409C-BE32-E72D297353CC}">
                <c16:uniqueId val="{00000002-F2B2-41A6-B521-559FF5BD16D3}"/>
              </c:ext>
            </c:extLst>
          </c:dPt>
          <c:dPt>
            <c:idx val="4"/>
            <c:invertIfNegative val="0"/>
            <c:bubble3D val="0"/>
            <c:spPr>
              <a:solidFill>
                <a:srgbClr val="FFFF00"/>
              </a:solidFill>
              <a:ln>
                <a:noFill/>
              </a:ln>
              <a:effectLst/>
            </c:spPr>
            <c:extLst>
              <c:ext xmlns:c16="http://schemas.microsoft.com/office/drawing/2014/chart" uri="{C3380CC4-5D6E-409C-BE32-E72D297353CC}">
                <c16:uniqueId val="{00000003-F2B2-41A6-B521-559FF5BD16D3}"/>
              </c:ext>
            </c:extLst>
          </c:dPt>
          <c:dLbls>
            <c:dLbl>
              <c:idx val="0"/>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5948411B-229D-4FEF-8B71-C14E2FF9D2DC}" type="VALUE">
                      <a:rPr lang="en-US" sz="2500" b="1">
                        <a:solidFill>
                          <a:schemeClr val="bg1"/>
                        </a:solidFill>
                      </a:rPr>
                      <a:pPr>
                        <a:defRPr/>
                      </a:pPr>
                      <a:t>[VALUE]</a:t>
                    </a:fld>
                    <a:endParaRPr lang="en-US"/>
                  </a:p>
                </c:rich>
              </c:tx>
              <c:spPr>
                <a:noFill/>
                <a:ln w="63500">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15:dlblFieldTable/>
                  <c15:showDataLabelsRange val="0"/>
                </c:ext>
                <c:ext xmlns:c16="http://schemas.microsoft.com/office/drawing/2014/chart" uri="{C3380CC4-5D6E-409C-BE32-E72D297353CC}">
                  <c16:uniqueId val="{00000005-F2B2-41A6-B521-559FF5BD16D3}"/>
                </c:ext>
              </c:extLst>
            </c:dLbl>
            <c:dLbl>
              <c:idx val="1"/>
              <c:spPr>
                <a:noFill/>
                <a:ln w="63500">
                  <a:noFill/>
                </a:ln>
                <a:effectLst/>
              </c:spPr>
              <c:txPr>
                <a:bodyPr rot="0" spcFirstLastPara="1" vertOverflow="ellipsis" vert="horz" wrap="square" lIns="38100" tIns="19050" rIns="38100" bIns="19050" anchor="ctr" anchorCtr="1">
                  <a:noAutofit/>
                </a:bodyPr>
                <a:lstStyle/>
                <a:p>
                  <a:pPr>
                    <a:defRPr sz="25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ext>
                <c:ext xmlns:c16="http://schemas.microsoft.com/office/drawing/2014/chart" uri="{C3380CC4-5D6E-409C-BE32-E72D297353CC}">
                  <c16:uniqueId val="{00000004-F2B2-41A6-B521-559FF5BD16D3}"/>
                </c:ext>
              </c:extLst>
            </c:dLbl>
            <c:dLbl>
              <c:idx val="2"/>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420E6A4-8F56-49E5-8951-1EE233FCD587}" type="VALUE">
                      <a:rPr lang="en-US" sz="2500" b="1">
                        <a:solidFill>
                          <a:schemeClr val="bg1"/>
                        </a:solidFill>
                      </a:rPr>
                      <a:pPr>
                        <a:defRPr/>
                      </a:pPr>
                      <a:t>[VALUE]</a:t>
                    </a:fld>
                    <a:endParaRPr lang="en-US"/>
                  </a:p>
                </c:rich>
              </c:tx>
              <c:spPr>
                <a:noFill/>
                <a:ln w="63500">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15:dlblFieldTable/>
                  <c15:showDataLabelsRange val="0"/>
                </c:ext>
                <c:ext xmlns:c16="http://schemas.microsoft.com/office/drawing/2014/chart" uri="{C3380CC4-5D6E-409C-BE32-E72D297353CC}">
                  <c16:uniqueId val="{00000001-F2B2-41A6-B521-559FF5BD16D3}"/>
                </c:ext>
              </c:extLst>
            </c:dLbl>
            <c:dLbl>
              <c:idx val="3"/>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D95F476-EED6-435A-9D25-3551B5ED307D}" type="VALUE">
                      <a:rPr lang="en-US" sz="2500" b="1">
                        <a:solidFill>
                          <a:schemeClr val="bg1"/>
                        </a:solidFill>
                      </a:rPr>
                      <a:pPr>
                        <a:defRPr/>
                      </a:pPr>
                      <a:t>[VALUE]</a:t>
                    </a:fld>
                    <a:endParaRPr lang="en-US"/>
                  </a:p>
                </c:rich>
              </c:tx>
              <c:spPr>
                <a:noFill/>
                <a:ln w="63500">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15:dlblFieldTable/>
                  <c15:showDataLabelsRange val="0"/>
                </c:ext>
                <c:ext xmlns:c16="http://schemas.microsoft.com/office/drawing/2014/chart" uri="{C3380CC4-5D6E-409C-BE32-E72D297353CC}">
                  <c16:uniqueId val="{00000002-F2B2-41A6-B521-559FF5BD16D3}"/>
                </c:ext>
              </c:extLst>
            </c:dLbl>
            <c:dLbl>
              <c:idx val="4"/>
              <c:tx>
                <c:rich>
                  <a:bodyPr rot="0" spcFirstLastPara="1" vertOverflow="ellipsis" vert="horz" wrap="square" lIns="38100" tIns="19050" rIns="38100" bIns="19050" anchor="ctr" anchorCtr="1">
                    <a:noAutofit/>
                  </a:bodyPr>
                  <a:lstStyle/>
                  <a:p>
                    <a:pPr>
                      <a:defRPr sz="2500" b="1" i="0" u="none" strike="noStrike" kern="1200" baseline="0">
                        <a:solidFill>
                          <a:schemeClr val="tx1">
                            <a:lumMod val="75000"/>
                            <a:lumOff val="25000"/>
                          </a:schemeClr>
                        </a:solidFill>
                        <a:latin typeface="+mn-lt"/>
                        <a:ea typeface="+mn-ea"/>
                        <a:cs typeface="+mn-cs"/>
                      </a:defRPr>
                    </a:pPr>
                    <a:fld id="{16CEB0F7-1663-4774-9780-3A2C3ED5482E}" type="VALUE">
                      <a:rPr lang="en-US" sz="2500" b="1">
                        <a:solidFill>
                          <a:schemeClr val="bg1"/>
                        </a:solidFill>
                      </a:rPr>
                      <a:pPr>
                        <a:defRPr sz="2500" b="1"/>
                      </a:pPr>
                      <a:t>[VALUE]</a:t>
                    </a:fld>
                    <a:endParaRPr lang="en-US"/>
                  </a:p>
                </c:rich>
              </c:tx>
              <c:spPr>
                <a:noFill/>
                <a:ln w="63500">
                  <a:noFill/>
                </a:ln>
                <a:effectLst/>
              </c:spPr>
              <c:txPr>
                <a:bodyPr rot="0" spcFirstLastPara="1" vertOverflow="ellipsis" vert="horz" wrap="square" lIns="38100" tIns="19050" rIns="38100" bIns="19050" anchor="ctr" anchorCtr="1">
                  <a:noAutofit/>
                </a:bodyPr>
                <a:lstStyle/>
                <a:p>
                  <a:pPr>
                    <a:defRPr sz="25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1999999999999995E-2"/>
                      <c:h val="8.7804878048780483E-2"/>
                    </c:manualLayout>
                  </c15:layout>
                  <c15:dlblFieldTable/>
                  <c15:showDataLabelsRange val="0"/>
                </c:ext>
                <c:ext xmlns:c16="http://schemas.microsoft.com/office/drawing/2014/chart" uri="{C3380CC4-5D6E-409C-BE32-E72D297353CC}">
                  <c16:uniqueId val="{00000003-F2B2-41A6-B521-559FF5BD16D3}"/>
                </c:ext>
              </c:extLst>
            </c:dLbl>
            <c:spPr>
              <a:noFill/>
              <a:ln w="63500">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Pivot!$G$4:$G$9</c:f>
              <c:strCache>
                <c:ptCount val="5"/>
                <c:pt idx="0">
                  <c:v>Design</c:v>
                </c:pt>
                <c:pt idx="1">
                  <c:v>Python</c:v>
                </c:pt>
                <c:pt idx="2">
                  <c:v>Management</c:v>
                </c:pt>
                <c:pt idx="3">
                  <c:v>Communication</c:v>
                </c:pt>
                <c:pt idx="4">
                  <c:v>Excel</c:v>
                </c:pt>
              </c:strCache>
            </c:strRef>
          </c:cat>
          <c:val>
            <c:numRef>
              <c:f>Pivot!$H$4:$H$9</c:f>
              <c:numCache>
                <c:formatCode>General</c:formatCode>
                <c:ptCount val="5"/>
                <c:pt idx="0">
                  <c:v>25</c:v>
                </c:pt>
                <c:pt idx="1">
                  <c:v>22</c:v>
                </c:pt>
                <c:pt idx="2">
                  <c:v>19</c:v>
                </c:pt>
                <c:pt idx="3">
                  <c:v>19</c:v>
                </c:pt>
                <c:pt idx="4">
                  <c:v>15</c:v>
                </c:pt>
              </c:numCache>
            </c:numRef>
          </c:val>
          <c:extLst>
            <c:ext xmlns:c16="http://schemas.microsoft.com/office/drawing/2014/chart" uri="{C3380CC4-5D6E-409C-BE32-E72D297353CC}">
              <c16:uniqueId val="{00000000-6A77-4C27-84BD-6EB6D3554189}"/>
            </c:ext>
          </c:extLst>
        </c:ser>
        <c:dLbls>
          <c:dLblPos val="outEnd"/>
          <c:showLegendKey val="0"/>
          <c:showVal val="1"/>
          <c:showCatName val="0"/>
          <c:showSerName val="0"/>
          <c:showPercent val="0"/>
          <c:showBubbleSize val="0"/>
        </c:dLbls>
        <c:gapWidth val="100"/>
        <c:axId val="1044052320"/>
        <c:axId val="951613440"/>
      </c:barChart>
      <c:catAx>
        <c:axId val="104405232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crossAx val="951613440"/>
        <c:crosses val="autoZero"/>
        <c:auto val="1"/>
        <c:lblAlgn val="ctr"/>
        <c:lblOffset val="100"/>
        <c:noMultiLvlLbl val="0"/>
      </c:catAx>
      <c:valAx>
        <c:axId val="951613440"/>
        <c:scaling>
          <c:orientation val="minMax"/>
        </c:scaling>
        <c:delete val="1"/>
        <c:axPos val="b"/>
        <c:numFmt formatCode="General" sourceLinked="1"/>
        <c:majorTickMark val="none"/>
        <c:minorTickMark val="none"/>
        <c:tickLblPos val="nextTo"/>
        <c:crossAx val="104405232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bg2">
                <a:lumMod val="90000"/>
              </a:schemeClr>
            </a:solidFill>
            <a:ln>
              <a:noFill/>
            </a:ln>
          </c:spPr>
          <c:dPt>
            <c:idx val="0"/>
            <c:bubble3D val="0"/>
            <c:spPr>
              <a:solidFill>
                <a:srgbClr val="FFFF00"/>
              </a:solidFill>
              <a:ln w="19050">
                <a:noFill/>
              </a:ln>
              <a:effectLst/>
            </c:spPr>
            <c:extLst>
              <c:ext xmlns:c16="http://schemas.microsoft.com/office/drawing/2014/chart" uri="{C3380CC4-5D6E-409C-BE32-E72D297353CC}">
                <c16:uniqueId val="{00000001-5ECB-4549-AB35-C787459D70A6}"/>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5ECB-4549-AB35-C787459D70A6}"/>
              </c:ext>
            </c:extLst>
          </c:dPt>
          <c:dLbls>
            <c:delete val="1"/>
          </c:dLbls>
          <c:val>
            <c:numRef>
              <c:f>Pivot!$P$15:$Q$15</c:f>
              <c:numCache>
                <c:formatCode>0%</c:formatCode>
                <c:ptCount val="2"/>
                <c:pt idx="0">
                  <c:v>0.49</c:v>
                </c:pt>
                <c:pt idx="1">
                  <c:v>0.51</c:v>
                </c:pt>
              </c:numCache>
            </c:numRef>
          </c:val>
          <c:extLst>
            <c:ext xmlns:c16="http://schemas.microsoft.com/office/drawing/2014/chart" uri="{C3380CC4-5D6E-409C-BE32-E72D297353CC}">
              <c16:uniqueId val="{00000004-5ECB-4549-AB35-C787459D70A6}"/>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bg1">
                <a:lumMod val="50000"/>
              </a:schemeClr>
            </a:solidFill>
          </c:spPr>
          <c:dPt>
            <c:idx val="0"/>
            <c:bubble3D val="0"/>
            <c:spPr>
              <a:solidFill>
                <a:schemeClr val="bg1"/>
              </a:solidFill>
              <a:ln w="19050">
                <a:solidFill>
                  <a:schemeClr val="lt1"/>
                </a:solidFill>
              </a:ln>
              <a:effectLst/>
            </c:spPr>
            <c:extLst>
              <c:ext xmlns:c16="http://schemas.microsoft.com/office/drawing/2014/chart" uri="{C3380CC4-5D6E-409C-BE32-E72D297353CC}">
                <c16:uniqueId val="{00000001-EB06-48CE-85CA-B6AB56CD2B76}"/>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EB06-48CE-85CA-B6AB56CD2B76}"/>
              </c:ext>
            </c:extLst>
          </c:dPt>
          <c:val>
            <c:numRef>
              <c:f>Pivot!$P$15:$Q$15</c:f>
              <c:numCache>
                <c:formatCode>0%</c:formatCode>
                <c:ptCount val="2"/>
                <c:pt idx="0">
                  <c:v>0.49</c:v>
                </c:pt>
                <c:pt idx="1">
                  <c:v>0.51</c:v>
                </c:pt>
              </c:numCache>
            </c:numRef>
          </c:val>
          <c:extLst>
            <c:ext xmlns:c16="http://schemas.microsoft.com/office/drawing/2014/chart" uri="{C3380CC4-5D6E-409C-BE32-E72D297353CC}">
              <c16:uniqueId val="{00000004-EB06-48CE-85CA-B6AB56CD2B7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Dashboard.xlsm]Pivot!PivotTable5</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CC480F6-389F-4747-BFC5-CC41DB816FA3}" type="VALUE">
                  <a:rPr lang="en-US" sz="2000" b="1">
                    <a:solidFill>
                      <a:schemeClr val="bg1"/>
                    </a:solidFill>
                  </a:rPr>
                  <a:pPr>
                    <a:defRPr/>
                  </a:pPr>
                  <a:t>[VALUE]</a:t>
                </a:fld>
                <a:endParaRPr lang="en-US" sz="2000" b="1">
                  <a:solidFill>
                    <a:schemeClr val="bg1"/>
                  </a:solidFill>
                </a:endParaRPr>
              </a:p>
              <a:p>
                <a:pPr>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bg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F30B02A-FDC9-4C18-BD3C-51E522C23C04}" type="VALUE">
                  <a:rPr lang="en-US" sz="2000" b="1">
                    <a:solidFill>
                      <a:schemeClr val="bg1"/>
                    </a:solidFill>
                  </a:rPr>
                  <a:pPr>
                    <a:defRPr/>
                  </a:pPr>
                  <a:t>[VALUE]</a:t>
                </a:fld>
                <a:endParaRPr lang="en-US" sz="2000" b="1">
                  <a:solidFill>
                    <a:schemeClr val="bg1"/>
                  </a:solidFill>
                </a:endParaRPr>
              </a:p>
              <a:p>
                <a:pPr>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E9BC29E-3567-4B4C-950E-E3ECD13FEDD2}"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bg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022F2E7-8B9E-45C6-97A0-A7A393890FC0}"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F4AB1FD-5268-4180-AC6C-055B571E7161}"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solidFill>
            <a:schemeClr val="bg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AB1BD27-D2CE-4D78-9569-57E4879BCBB1}"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A71DE25-57F2-492A-B076-37F776A7C2B1}"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solidFill>
            <a:schemeClr val="bg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38FD37C-F253-47CB-B421-28FE2EBED636}"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0DC8467-9735-4D6F-986E-072E98B613BE}"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spPr>
          <a:solidFill>
            <a:schemeClr val="bg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4025054-93F0-4BEE-9DE7-AC5FE3BC4A24}"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3.504973323816131E-2"/>
          <c:y val="0"/>
          <c:w val="0.9649502667618387"/>
          <c:h val="0.83180088575005762"/>
        </c:manualLayout>
      </c:layout>
      <c:barChart>
        <c:barDir val="col"/>
        <c:grouping val="clustered"/>
        <c:varyColors val="0"/>
        <c:ser>
          <c:idx val="0"/>
          <c:order val="0"/>
          <c:tx>
            <c:strRef>
              <c:f>Pivot!$N$3:$N$4</c:f>
              <c:strCache>
                <c:ptCount val="1"/>
                <c:pt idx="0">
                  <c:v>Female</c:v>
                </c:pt>
              </c:strCache>
            </c:strRef>
          </c:tx>
          <c:spPr>
            <a:solidFill>
              <a:srgbClr val="FFFF00"/>
            </a:solidFill>
            <a:ln>
              <a:noFill/>
            </a:ln>
            <a:effectLst/>
          </c:spPr>
          <c:invertIfNegative val="0"/>
          <c:dLbls>
            <c:dLbl>
              <c:idx val="0"/>
              <c:tx>
                <c:rich>
                  <a:bodyPr/>
                  <a:lstStyle/>
                  <a:p>
                    <a:fld id="{9CC480F6-389F-4747-BFC5-CC41DB816FA3}" type="VALUE">
                      <a:rPr lang="en-US" sz="2000" b="1">
                        <a:solidFill>
                          <a:schemeClr val="bg1"/>
                        </a:solidFill>
                      </a:rPr>
                      <a:pPr/>
                      <a:t>[VALUE]</a:t>
                    </a:fld>
                    <a:endParaRPr lang="en-US" sz="2000" b="1">
                      <a:solidFill>
                        <a:schemeClr val="bg1"/>
                      </a:solidFill>
                    </a:endParaRPr>
                  </a:p>
                  <a:p>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79A6-40FE-AD11-9E69053F45F8}"/>
                </c:ext>
              </c:extLst>
            </c:dLbl>
            <c:dLbl>
              <c:idx val="1"/>
              <c:tx>
                <c:rich>
                  <a:bodyPr/>
                  <a:lstStyle/>
                  <a:p>
                    <a:fld id="{5E9BC29E-3567-4B4C-950E-E3ECD13FEDD2}"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79A6-40FE-AD11-9E69053F45F8}"/>
                </c:ext>
              </c:extLst>
            </c:dLbl>
            <c:dLbl>
              <c:idx val="2"/>
              <c:tx>
                <c:rich>
                  <a:bodyPr/>
                  <a:lstStyle/>
                  <a:p>
                    <a:fld id="{8F4AB1FD-5268-4180-AC6C-055B571E7161}"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79A6-40FE-AD11-9E69053F45F8}"/>
                </c:ext>
              </c:extLst>
            </c:dLbl>
            <c:dLbl>
              <c:idx val="3"/>
              <c:tx>
                <c:rich>
                  <a:bodyPr/>
                  <a:lstStyle/>
                  <a:p>
                    <a:fld id="{AA71DE25-57F2-492A-B076-37F776A7C2B1}"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79A6-40FE-AD11-9E69053F45F8}"/>
                </c:ext>
              </c:extLst>
            </c:dLbl>
            <c:dLbl>
              <c:idx val="4"/>
              <c:tx>
                <c:rich>
                  <a:bodyPr/>
                  <a:lstStyle/>
                  <a:p>
                    <a:fld id="{E0DC8467-9735-4D6F-986E-072E98B613BE}"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79A6-40FE-AD11-9E69053F45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Pivot!$M$5:$M$10</c:f>
              <c:strCache>
                <c:ptCount val="5"/>
                <c:pt idx="0">
                  <c:v>18-25</c:v>
                </c:pt>
                <c:pt idx="1">
                  <c:v>26-35</c:v>
                </c:pt>
                <c:pt idx="2">
                  <c:v>36-45</c:v>
                </c:pt>
                <c:pt idx="3">
                  <c:v>46-55</c:v>
                </c:pt>
                <c:pt idx="4">
                  <c:v>56 &lt;</c:v>
                </c:pt>
              </c:strCache>
            </c:strRef>
          </c:cat>
          <c:val>
            <c:numRef>
              <c:f>Pivot!$N$5:$N$10</c:f>
              <c:numCache>
                <c:formatCode>General</c:formatCode>
                <c:ptCount val="5"/>
                <c:pt idx="0">
                  <c:v>8</c:v>
                </c:pt>
                <c:pt idx="1">
                  <c:v>14</c:v>
                </c:pt>
                <c:pt idx="2">
                  <c:v>11</c:v>
                </c:pt>
                <c:pt idx="3">
                  <c:v>8</c:v>
                </c:pt>
                <c:pt idx="4">
                  <c:v>8</c:v>
                </c:pt>
              </c:numCache>
            </c:numRef>
          </c:val>
          <c:extLst>
            <c:ext xmlns:c16="http://schemas.microsoft.com/office/drawing/2014/chart" uri="{C3380CC4-5D6E-409C-BE32-E72D297353CC}">
              <c16:uniqueId val="{00000000-2308-408F-B98B-8DB95A664671}"/>
            </c:ext>
          </c:extLst>
        </c:ser>
        <c:ser>
          <c:idx val="1"/>
          <c:order val="1"/>
          <c:tx>
            <c:strRef>
              <c:f>Pivot!$O$3:$O$4</c:f>
              <c:strCache>
                <c:ptCount val="1"/>
                <c:pt idx="0">
                  <c:v>Male</c:v>
                </c:pt>
              </c:strCache>
            </c:strRef>
          </c:tx>
          <c:spPr>
            <a:solidFill>
              <a:schemeClr val="bg1"/>
            </a:solidFill>
            <a:ln>
              <a:noFill/>
            </a:ln>
            <a:effectLst/>
          </c:spPr>
          <c:invertIfNegative val="0"/>
          <c:dLbls>
            <c:dLbl>
              <c:idx val="0"/>
              <c:tx>
                <c:rich>
                  <a:bodyPr/>
                  <a:lstStyle/>
                  <a:p>
                    <a:fld id="{9F30B02A-FDC9-4C18-BD3C-51E522C23C04}" type="VALUE">
                      <a:rPr lang="en-US" sz="2000" b="1">
                        <a:solidFill>
                          <a:schemeClr val="bg1"/>
                        </a:solidFill>
                      </a:rPr>
                      <a:pPr/>
                      <a:t>[VALUE]</a:t>
                    </a:fld>
                    <a:endParaRPr lang="en-US" sz="2000" b="1">
                      <a:solidFill>
                        <a:schemeClr val="bg1"/>
                      </a:solidFill>
                    </a:endParaRPr>
                  </a:p>
                  <a:p>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79A6-40FE-AD11-9E69053F45F8}"/>
                </c:ext>
              </c:extLst>
            </c:dLbl>
            <c:dLbl>
              <c:idx val="1"/>
              <c:tx>
                <c:rich>
                  <a:bodyPr/>
                  <a:lstStyle/>
                  <a:p>
                    <a:fld id="{2022F2E7-8B9E-45C6-97A0-A7A393890FC0}"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79A6-40FE-AD11-9E69053F45F8}"/>
                </c:ext>
              </c:extLst>
            </c:dLbl>
            <c:dLbl>
              <c:idx val="2"/>
              <c:tx>
                <c:rich>
                  <a:bodyPr/>
                  <a:lstStyle/>
                  <a:p>
                    <a:fld id="{8AB1BD27-D2CE-4D78-9569-57E4879BCBB1}"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79A6-40FE-AD11-9E69053F45F8}"/>
                </c:ext>
              </c:extLst>
            </c:dLbl>
            <c:dLbl>
              <c:idx val="3"/>
              <c:tx>
                <c:rich>
                  <a:bodyPr/>
                  <a:lstStyle/>
                  <a:p>
                    <a:fld id="{E38FD37C-F253-47CB-B421-28FE2EBED636}"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79A6-40FE-AD11-9E69053F45F8}"/>
                </c:ext>
              </c:extLst>
            </c:dLbl>
            <c:dLbl>
              <c:idx val="4"/>
              <c:tx>
                <c:rich>
                  <a:bodyPr/>
                  <a:lstStyle/>
                  <a:p>
                    <a:fld id="{84025054-93F0-4BEE-9DE7-AC5FE3BC4A24}"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79A6-40FE-AD11-9E69053F45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Pivot!$M$5:$M$10</c:f>
              <c:strCache>
                <c:ptCount val="5"/>
                <c:pt idx="0">
                  <c:v>18-25</c:v>
                </c:pt>
                <c:pt idx="1">
                  <c:v>26-35</c:v>
                </c:pt>
                <c:pt idx="2">
                  <c:v>36-45</c:v>
                </c:pt>
                <c:pt idx="3">
                  <c:v>46-55</c:v>
                </c:pt>
                <c:pt idx="4">
                  <c:v>56 &lt;</c:v>
                </c:pt>
              </c:strCache>
            </c:strRef>
          </c:cat>
          <c:val>
            <c:numRef>
              <c:f>Pivot!$O$5:$O$10</c:f>
              <c:numCache>
                <c:formatCode>General</c:formatCode>
                <c:ptCount val="5"/>
                <c:pt idx="0">
                  <c:v>7</c:v>
                </c:pt>
                <c:pt idx="1">
                  <c:v>11</c:v>
                </c:pt>
                <c:pt idx="2">
                  <c:v>15</c:v>
                </c:pt>
                <c:pt idx="3">
                  <c:v>11</c:v>
                </c:pt>
                <c:pt idx="4">
                  <c:v>7</c:v>
                </c:pt>
              </c:numCache>
            </c:numRef>
          </c:val>
          <c:extLst>
            <c:ext xmlns:c16="http://schemas.microsoft.com/office/drawing/2014/chart" uri="{C3380CC4-5D6E-409C-BE32-E72D297353CC}">
              <c16:uniqueId val="{00000003-1B51-45E3-B581-498620922359}"/>
            </c:ext>
          </c:extLst>
        </c:ser>
        <c:dLbls>
          <c:dLblPos val="outEnd"/>
          <c:showLegendKey val="0"/>
          <c:showVal val="1"/>
          <c:showCatName val="0"/>
          <c:showSerName val="0"/>
          <c:showPercent val="0"/>
          <c:showBubbleSize val="0"/>
        </c:dLbls>
        <c:gapWidth val="219"/>
        <c:overlap val="-27"/>
        <c:axId val="253939503"/>
        <c:axId val="293806943"/>
      </c:barChart>
      <c:catAx>
        <c:axId val="253939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500" b="1" i="0" u="none" strike="noStrike" kern="1200" baseline="0">
                <a:solidFill>
                  <a:schemeClr val="bg1"/>
                </a:solidFill>
                <a:latin typeface="+mn-lt"/>
                <a:ea typeface="+mn-ea"/>
                <a:cs typeface="+mn-cs"/>
              </a:defRPr>
            </a:pPr>
            <a:endParaRPr lang="en-US"/>
          </a:p>
        </c:txPr>
        <c:crossAx val="293806943"/>
        <c:crosses val="autoZero"/>
        <c:auto val="1"/>
        <c:lblAlgn val="ctr"/>
        <c:lblOffset val="100"/>
        <c:noMultiLvlLbl val="0"/>
      </c:catAx>
      <c:valAx>
        <c:axId val="293806943"/>
        <c:scaling>
          <c:orientation val="minMax"/>
        </c:scaling>
        <c:delete val="1"/>
        <c:axPos val="l"/>
        <c:majorGridlines>
          <c:spPr>
            <a:ln w="9525" cap="flat" cmpd="sng" algn="ctr">
              <a:solidFill>
                <a:schemeClr val="tx1">
                  <a:lumMod val="50000"/>
                  <a:lumOff val="50000"/>
                </a:schemeClr>
              </a:solidFill>
              <a:prstDash val="sysDot"/>
              <a:round/>
            </a:ln>
            <a:effectLst/>
          </c:spPr>
        </c:majorGridlines>
        <c:numFmt formatCode="General" sourceLinked="1"/>
        <c:majorTickMark val="none"/>
        <c:minorTickMark val="none"/>
        <c:tickLblPos val="nextTo"/>
        <c:crossAx val="253939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dPt>
            <c:idx val="0"/>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4-4771-4F41-B508-D5DD23D72502}"/>
              </c:ext>
            </c:extLst>
          </c:dPt>
          <c:dPt>
            <c:idx val="1"/>
            <c:invertIfNegative val="0"/>
            <c:bubble3D val="0"/>
            <c:spPr>
              <a:solidFill>
                <a:srgbClr val="FFFF00"/>
              </a:solidFill>
              <a:ln>
                <a:noFill/>
              </a:ln>
              <a:effectLst/>
            </c:spPr>
            <c:extLst>
              <c:ext xmlns:c16="http://schemas.microsoft.com/office/drawing/2014/chart" uri="{C3380CC4-5D6E-409C-BE32-E72D297353CC}">
                <c16:uniqueId val="{00000003-4771-4F41-B508-D5DD23D72502}"/>
              </c:ext>
            </c:extLst>
          </c:dPt>
          <c:dPt>
            <c:idx val="2"/>
            <c:invertIfNegative val="0"/>
            <c:bubble3D val="0"/>
            <c:spPr>
              <a:solidFill>
                <a:srgbClr val="FFFF00"/>
              </a:solidFill>
              <a:ln>
                <a:noFill/>
              </a:ln>
              <a:effectLst/>
            </c:spPr>
            <c:extLst>
              <c:ext xmlns:c16="http://schemas.microsoft.com/office/drawing/2014/chart" uri="{C3380CC4-5D6E-409C-BE32-E72D297353CC}">
                <c16:uniqueId val="{00000002-4771-4F41-B508-D5DD23D72502}"/>
              </c:ext>
            </c:extLst>
          </c:dPt>
          <c:dLbls>
            <c:dLbl>
              <c:idx val="0"/>
              <c:layout>
                <c:manualLayout>
                  <c:x val="0.69949527121241195"/>
                  <c:y val="-7.946126513596323E-3"/>
                </c:manualLayout>
              </c:layout>
              <c:tx>
                <c:rich>
                  <a:bodyPr/>
                  <a:lstStyle/>
                  <a:p>
                    <a:fld id="{89C38791-5FF5-4C12-9F0E-F1D51F352B69}" type="VALUE">
                      <a:rPr lang="en-US" sz="2500" b="1">
                        <a:solidFill>
                          <a:schemeClr val="bg1"/>
                        </a:solidFill>
                      </a:rPr>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4771-4F41-B508-D5DD23D72502}"/>
                </c:ext>
              </c:extLst>
            </c:dLbl>
            <c:dLbl>
              <c:idx val="1"/>
              <c:layout>
                <c:manualLayout>
                  <c:x val="0.73138715287863154"/>
                  <c:y val="-7.9461265135963716E-3"/>
                </c:manualLayout>
              </c:layout>
              <c:tx>
                <c:rich>
                  <a:bodyPr/>
                  <a:lstStyle/>
                  <a:p>
                    <a:fld id="{95E8D45D-0A0B-4139-9193-7EBD3C70A95D}" type="VALUE">
                      <a:rPr lang="en-US" sz="2500" b="1">
                        <a:solidFill>
                          <a:schemeClr val="bg1"/>
                        </a:solidFill>
                      </a:rPr>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771-4F41-B508-D5DD23D72502}"/>
                </c:ext>
              </c:extLst>
            </c:dLbl>
            <c:dLbl>
              <c:idx val="2"/>
              <c:layout>
                <c:manualLayout>
                  <c:x val="0.72926102743421672"/>
                  <c:y val="0"/>
                </c:manualLayout>
              </c:layout>
              <c:tx>
                <c:rich>
                  <a:bodyPr/>
                  <a:lstStyle/>
                  <a:p>
                    <a:fld id="{A24B48FE-3C3E-4D50-986A-A0E811196F2A}" type="VALUE">
                      <a:rPr lang="en-US" sz="2500" b="1">
                        <a:solidFill>
                          <a:schemeClr val="bg1"/>
                        </a:solidFill>
                      </a:rPr>
                      <a:pPr/>
                      <a:t>[VALUE]</a:t>
                    </a:fld>
                    <a:endParaRPr lang="en-US"/>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4771-4F41-B508-D5DD23D725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Pivot!$J$16:$J$18</c:f>
              <c:strCache>
                <c:ptCount val="3"/>
                <c:pt idx="0">
                  <c:v>Branch Office</c:v>
                </c:pt>
                <c:pt idx="1">
                  <c:v>Head Office</c:v>
                </c:pt>
                <c:pt idx="2">
                  <c:v>Remote</c:v>
                </c:pt>
              </c:strCache>
            </c:strRef>
          </c:cat>
          <c:val>
            <c:numRef>
              <c:f>Pivot!$K$16:$K$18</c:f>
              <c:numCache>
                <c:formatCode>0%</c:formatCode>
                <c:ptCount val="3"/>
                <c:pt idx="0">
                  <c:v>0.38</c:v>
                </c:pt>
                <c:pt idx="1">
                  <c:v>0.3</c:v>
                </c:pt>
                <c:pt idx="2">
                  <c:v>0.32</c:v>
                </c:pt>
              </c:numCache>
            </c:numRef>
          </c:val>
          <c:extLst>
            <c:ext xmlns:c16="http://schemas.microsoft.com/office/drawing/2014/chart" uri="{C3380CC4-5D6E-409C-BE32-E72D297353CC}">
              <c16:uniqueId val="{00000000-4771-4F41-B508-D5DD23D72502}"/>
            </c:ext>
          </c:extLst>
        </c:ser>
        <c:ser>
          <c:idx val="1"/>
          <c:order val="1"/>
          <c:spPr>
            <a:solidFill>
              <a:schemeClr val="bg1">
                <a:lumMod val="85000"/>
              </a:schemeClr>
            </a:solidFill>
            <a:ln>
              <a:noFill/>
            </a:ln>
            <a:effectLst/>
          </c:spPr>
          <c:invertIfNegative val="0"/>
          <c:cat>
            <c:strRef>
              <c:f>Pivot!$J$16:$J$18</c:f>
              <c:strCache>
                <c:ptCount val="3"/>
                <c:pt idx="0">
                  <c:v>Branch Office</c:v>
                </c:pt>
                <c:pt idx="1">
                  <c:v>Head Office</c:v>
                </c:pt>
                <c:pt idx="2">
                  <c:v>Remote</c:v>
                </c:pt>
              </c:strCache>
            </c:strRef>
          </c:cat>
          <c:val>
            <c:numRef>
              <c:f>Pivot!$L$16:$L$18</c:f>
              <c:numCache>
                <c:formatCode>0%</c:formatCode>
                <c:ptCount val="3"/>
                <c:pt idx="0">
                  <c:v>0.62</c:v>
                </c:pt>
                <c:pt idx="1">
                  <c:v>0.7</c:v>
                </c:pt>
                <c:pt idx="2">
                  <c:v>0.67999999999999994</c:v>
                </c:pt>
              </c:numCache>
            </c:numRef>
          </c:val>
          <c:extLst>
            <c:ext xmlns:c16="http://schemas.microsoft.com/office/drawing/2014/chart" uri="{C3380CC4-5D6E-409C-BE32-E72D297353CC}">
              <c16:uniqueId val="{00000001-4771-4F41-B508-D5DD23D72502}"/>
            </c:ext>
          </c:extLst>
        </c:ser>
        <c:dLbls>
          <c:showLegendKey val="0"/>
          <c:showVal val="0"/>
          <c:showCatName val="0"/>
          <c:showSerName val="0"/>
          <c:showPercent val="0"/>
          <c:showBubbleSize val="0"/>
        </c:dLbls>
        <c:gapWidth val="100"/>
        <c:overlap val="100"/>
        <c:axId val="323591167"/>
        <c:axId val="293822783"/>
      </c:barChart>
      <c:catAx>
        <c:axId val="323591167"/>
        <c:scaling>
          <c:orientation val="minMax"/>
        </c:scaling>
        <c:delete val="1"/>
        <c:axPos val="l"/>
        <c:numFmt formatCode="General" sourceLinked="1"/>
        <c:majorTickMark val="none"/>
        <c:minorTickMark val="none"/>
        <c:tickLblPos val="nextTo"/>
        <c:crossAx val="293822783"/>
        <c:crosses val="autoZero"/>
        <c:auto val="1"/>
        <c:lblAlgn val="ctr"/>
        <c:lblOffset val="100"/>
        <c:noMultiLvlLbl val="0"/>
      </c:catAx>
      <c:valAx>
        <c:axId val="293822783"/>
        <c:scaling>
          <c:orientation val="minMax"/>
        </c:scaling>
        <c:delete val="1"/>
        <c:axPos val="b"/>
        <c:numFmt formatCode="0%" sourceLinked="1"/>
        <c:majorTickMark val="none"/>
        <c:minorTickMark val="none"/>
        <c:tickLblPos val="nextTo"/>
        <c:crossAx val="323591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FFF00"/>
            </a:solidFill>
            <a:ln>
              <a:noFill/>
            </a:ln>
            <a:effectLst/>
          </c:spPr>
          <c:invertIfNegative val="0"/>
          <c:dPt>
            <c:idx val="1"/>
            <c:invertIfNegative val="0"/>
            <c:bubble3D val="0"/>
            <c:spPr>
              <a:solidFill>
                <a:schemeClr val="bg1"/>
              </a:solidFill>
              <a:ln>
                <a:noFill/>
              </a:ln>
              <a:effectLst/>
            </c:spPr>
            <c:extLst>
              <c:ext xmlns:c16="http://schemas.microsoft.com/office/drawing/2014/chart" uri="{C3380CC4-5D6E-409C-BE32-E72D297353CC}">
                <c16:uniqueId val="{00000001-24E1-4F59-8170-8716933F1E2C}"/>
              </c:ext>
            </c:extLst>
          </c:dPt>
          <c:dPt>
            <c:idx val="2"/>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2-24E1-4F59-8170-8716933F1E2C}"/>
              </c:ext>
            </c:extLst>
          </c:dPt>
          <c:dPt>
            <c:idx val="3"/>
            <c:invertIfNegative val="0"/>
            <c:bubble3D val="0"/>
            <c:spPr>
              <a:solidFill>
                <a:schemeClr val="bg1"/>
              </a:solidFill>
              <a:ln>
                <a:noFill/>
              </a:ln>
              <a:effectLst/>
            </c:spPr>
            <c:extLst>
              <c:ext xmlns:c16="http://schemas.microsoft.com/office/drawing/2014/chart" uri="{C3380CC4-5D6E-409C-BE32-E72D297353CC}">
                <c16:uniqueId val="{00000003-24E1-4F59-8170-8716933F1E2C}"/>
              </c:ext>
            </c:extLst>
          </c:dPt>
          <c:cat>
            <c:strRef>
              <c:f>Pivot!$S$12:$S$16</c:f>
              <c:strCache>
                <c:ptCount val="5"/>
                <c:pt idx="0">
                  <c:v>Analyst</c:v>
                </c:pt>
                <c:pt idx="1">
                  <c:v>Designer</c:v>
                </c:pt>
                <c:pt idx="2">
                  <c:v>Developer</c:v>
                </c:pt>
                <c:pt idx="3">
                  <c:v>HR Specialist</c:v>
                </c:pt>
                <c:pt idx="4">
                  <c:v>Manager</c:v>
                </c:pt>
              </c:strCache>
            </c:strRef>
          </c:cat>
          <c:val>
            <c:numRef>
              <c:f>Pivot!$U$12:$U$16</c:f>
              <c:numCache>
                <c:formatCode>General</c:formatCode>
                <c:ptCount val="5"/>
                <c:pt idx="0">
                  <c:v>207</c:v>
                </c:pt>
                <c:pt idx="1">
                  <c:v>159</c:v>
                </c:pt>
                <c:pt idx="2">
                  <c:v>212</c:v>
                </c:pt>
                <c:pt idx="3">
                  <c:v>234</c:v>
                </c:pt>
                <c:pt idx="4">
                  <c:v>238</c:v>
                </c:pt>
              </c:numCache>
            </c:numRef>
          </c:val>
          <c:extLst>
            <c:ext xmlns:c16="http://schemas.microsoft.com/office/drawing/2014/chart" uri="{C3380CC4-5D6E-409C-BE32-E72D297353CC}">
              <c16:uniqueId val="{00000000-24E1-4F59-8170-8716933F1E2C}"/>
            </c:ext>
          </c:extLst>
        </c:ser>
        <c:dLbls>
          <c:showLegendKey val="0"/>
          <c:showVal val="0"/>
          <c:showCatName val="0"/>
          <c:showSerName val="0"/>
          <c:showPercent val="0"/>
          <c:showBubbleSize val="0"/>
        </c:dLbls>
        <c:gapWidth val="100"/>
        <c:overlap val="-27"/>
        <c:axId val="257553487"/>
        <c:axId val="293795903"/>
      </c:barChart>
      <c:catAx>
        <c:axId val="257553487"/>
        <c:scaling>
          <c:orientation val="minMax"/>
        </c:scaling>
        <c:delete val="1"/>
        <c:axPos val="b"/>
        <c:numFmt formatCode="General" sourceLinked="1"/>
        <c:majorTickMark val="none"/>
        <c:minorTickMark val="none"/>
        <c:tickLblPos val="nextTo"/>
        <c:crossAx val="293795903"/>
        <c:crosses val="autoZero"/>
        <c:auto val="1"/>
        <c:lblAlgn val="ctr"/>
        <c:lblOffset val="100"/>
        <c:noMultiLvlLbl val="0"/>
      </c:catAx>
      <c:valAx>
        <c:axId val="293795903"/>
        <c:scaling>
          <c:orientation val="minMax"/>
        </c:scaling>
        <c:delete val="1"/>
        <c:axPos val="l"/>
        <c:majorGridlines>
          <c:spPr>
            <a:ln w="9525" cap="rnd" cmpd="sng" algn="ctr">
              <a:solidFill>
                <a:schemeClr val="tx1">
                  <a:lumMod val="50000"/>
                  <a:lumOff val="50000"/>
                </a:schemeClr>
              </a:solidFill>
              <a:prstDash val="sysDot"/>
              <a:round/>
            </a:ln>
            <a:effectLst/>
          </c:spPr>
        </c:majorGridlines>
        <c:numFmt formatCode="General" sourceLinked="1"/>
        <c:majorTickMark val="none"/>
        <c:minorTickMark val="none"/>
        <c:tickLblPos val="nextTo"/>
        <c:crossAx val="257553487"/>
        <c:crosses val="autoZero"/>
        <c:crossBetween val="between"/>
      </c:valAx>
      <c:spPr>
        <a:noFill/>
        <a:ln>
          <a:noFill/>
        </a:ln>
        <a:effectLst/>
      </c:spPr>
    </c:plotArea>
    <c:legend>
      <c:legendPos val="b"/>
      <c:layout>
        <c:manualLayout>
          <c:xMode val="edge"/>
          <c:yMode val="edge"/>
          <c:x val="0.12251402296389263"/>
          <c:y val="0.94611335571298893"/>
          <c:w val="0.79654842153144934"/>
          <c:h val="3.9752515485403449E-2"/>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Dashboard.xlsm]Pivot!PivotTable1</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FF00"/>
          </a:solidFill>
          <a:ln w="19050">
            <a:solidFill>
              <a:schemeClr val="lt1"/>
            </a:solidFill>
          </a:ln>
          <a:effectLst/>
        </c:spPr>
        <c:dLbl>
          <c:idx val="0"/>
          <c:layout>
            <c:manualLayout>
              <c:x val="-2.773788182177166E-2"/>
              <c:y val="4.6616406126696198E-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BC396593-D067-45A4-B7BA-F991EBE85DED}"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9.026040163492402E-2"/>
                  <c:h val="0.20810272218459794"/>
                </c:manualLayout>
              </c15:layout>
              <c15:dlblFieldTable/>
              <c15:showDataLabelsRange val="0"/>
            </c:ext>
          </c:extLst>
        </c:dLbl>
      </c:pivotFmt>
      <c:pivotFmt>
        <c:idx val="7"/>
        <c:spPr>
          <a:solidFill>
            <a:schemeClr val="bg2">
              <a:lumMod val="75000"/>
            </a:schemeClr>
          </a:solidFill>
          <a:ln w="19050">
            <a:solidFill>
              <a:schemeClr val="lt1"/>
            </a:solidFill>
          </a:ln>
          <a:effectLst/>
        </c:spPr>
        <c:dLbl>
          <c:idx val="0"/>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070339D1-BA7F-40A2-A80A-5ECF99652FFD}"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8.7458153835019536E-2"/>
                  <c:h val="9.8199127729031277E-2"/>
                </c:manualLayout>
              </c15:layout>
              <c15:dlblFieldTable/>
              <c15:showDataLabelsRange val="0"/>
            </c:ext>
          </c:extLst>
        </c:dLbl>
      </c:pivotFmt>
      <c:pivotFmt>
        <c:idx val="8"/>
        <c:spPr>
          <a:solidFill>
            <a:schemeClr val="bg1"/>
          </a:solidFill>
          <a:ln w="19050">
            <a:solidFill>
              <a:schemeClr val="lt1"/>
            </a:solidFill>
          </a:ln>
          <a:effectLst/>
        </c:spPr>
        <c:dLbl>
          <c:idx val="0"/>
          <c:layout>
            <c:manualLayout>
              <c:x val="3.6059246368303183E-2"/>
              <c:y val="2.796892606635417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BD7B0809-2663-4869-9CB9-15038C4FD6C2}"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12949187083358707"/>
                  <c:h val="0.14519108084181298"/>
                </c:manualLayout>
              </c15:layout>
              <c15:dlblFieldTable/>
              <c15:showDataLabelsRange val="0"/>
            </c:ext>
          </c:extLst>
        </c:dLbl>
      </c:pivotFmt>
    </c:pivotFmts>
    <c:plotArea>
      <c:layout/>
      <c:pieChart>
        <c:varyColors val="1"/>
        <c:ser>
          <c:idx val="0"/>
          <c:order val="0"/>
          <c:tx>
            <c:strRef>
              <c:f>Pivot!$B$3</c:f>
              <c:strCache>
                <c:ptCount val="1"/>
                <c:pt idx="0">
                  <c:v>Total</c:v>
                </c:pt>
              </c:strCache>
            </c:strRef>
          </c:tx>
          <c:dPt>
            <c:idx val="0"/>
            <c:bubble3D val="0"/>
            <c:spPr>
              <a:solidFill>
                <a:srgbClr val="FFFF00"/>
              </a:solidFill>
              <a:ln w="19050">
                <a:solidFill>
                  <a:schemeClr val="lt1"/>
                </a:solidFill>
              </a:ln>
              <a:effectLst/>
            </c:spPr>
            <c:extLst>
              <c:ext xmlns:c16="http://schemas.microsoft.com/office/drawing/2014/chart" uri="{C3380CC4-5D6E-409C-BE32-E72D297353CC}">
                <c16:uniqueId val="{00000001-C5C7-48DE-8E2A-7C6580C0D485}"/>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C5C7-48DE-8E2A-7C6580C0D485}"/>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C5C7-48DE-8E2A-7C6580C0D485}"/>
              </c:ext>
            </c:extLst>
          </c:dPt>
          <c:dLbls>
            <c:dLbl>
              <c:idx val="0"/>
              <c:layout>
                <c:manualLayout>
                  <c:x val="-2.773788182177166E-2"/>
                  <c:y val="4.6616406126696198E-3"/>
                </c:manualLayout>
              </c:layout>
              <c:tx>
                <c:rich>
                  <a:bodyPr/>
                  <a:lstStyle/>
                  <a:p>
                    <a:fld id="{BC396593-D067-45A4-B7BA-F991EBE85DED}" type="VALUE">
                      <a:rPr lang="en-US" sz="2000" b="1">
                        <a:solidFill>
                          <a:schemeClr val="bg1"/>
                        </a:solidFill>
                      </a:rPr>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layout>
                    <c:manualLayout>
                      <c:w val="9.026040163492402E-2"/>
                      <c:h val="0.20810272218459794"/>
                    </c:manualLayout>
                  </c15:layout>
                  <c15:dlblFieldTable/>
                  <c15:showDataLabelsRange val="0"/>
                </c:ext>
                <c:ext xmlns:c16="http://schemas.microsoft.com/office/drawing/2014/chart" uri="{C3380CC4-5D6E-409C-BE32-E72D297353CC}">
                  <c16:uniqueId val="{00000001-C5C7-48DE-8E2A-7C6580C0D485}"/>
                </c:ext>
              </c:extLst>
            </c:dLbl>
            <c:dLbl>
              <c:idx val="1"/>
              <c:tx>
                <c:rich>
                  <a:bodyPr/>
                  <a:lstStyle/>
                  <a:p>
                    <a:fld id="{070339D1-BA7F-40A2-A80A-5ECF99652FFD}"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layout>
                    <c:manualLayout>
                      <c:w val="8.7458153835019536E-2"/>
                      <c:h val="9.8199127729031277E-2"/>
                    </c:manualLayout>
                  </c15:layout>
                  <c15:dlblFieldTable/>
                  <c15:showDataLabelsRange val="0"/>
                </c:ext>
                <c:ext xmlns:c16="http://schemas.microsoft.com/office/drawing/2014/chart" uri="{C3380CC4-5D6E-409C-BE32-E72D297353CC}">
                  <c16:uniqueId val="{00000003-C5C7-48DE-8E2A-7C6580C0D485}"/>
                </c:ext>
              </c:extLst>
            </c:dLbl>
            <c:dLbl>
              <c:idx val="2"/>
              <c:layout>
                <c:manualLayout>
                  <c:x val="3.6059246368303183E-2"/>
                  <c:y val="2.796892606635417E-2"/>
                </c:manualLayout>
              </c:layout>
              <c:tx>
                <c:rich>
                  <a:bodyPr/>
                  <a:lstStyle/>
                  <a:p>
                    <a:fld id="{BD7B0809-2663-4869-9CB9-15038C4FD6C2}" type="VALUE">
                      <a:rPr lang="en-US" sz="2000" b="1">
                        <a:solidFill>
                          <a:schemeClr val="bg1"/>
                        </a:solidFill>
                      </a:rPr>
                      <a:pPr/>
                      <a:t>[VALUE]</a:t>
                    </a:fld>
                    <a:endParaRPr lang="en-US"/>
                  </a:p>
                </c:rich>
              </c:tx>
              <c:dLblPos val="bestFit"/>
              <c:showLegendKey val="0"/>
              <c:showVal val="1"/>
              <c:showCatName val="0"/>
              <c:showSerName val="0"/>
              <c:showPercent val="0"/>
              <c:showBubbleSize val="0"/>
              <c:extLst>
                <c:ext xmlns:c15="http://schemas.microsoft.com/office/drawing/2012/chart" uri="{CE6537A1-D6FC-4f65-9D91-7224C49458BB}">
                  <c15:layout>
                    <c:manualLayout>
                      <c:w val="0.12949187083358707"/>
                      <c:h val="0.14519108084181298"/>
                    </c:manualLayout>
                  </c15:layout>
                  <c15:dlblFieldTable/>
                  <c15:showDataLabelsRange val="0"/>
                </c:ext>
                <c:ext xmlns:c16="http://schemas.microsoft.com/office/drawing/2014/chart" uri="{C3380CC4-5D6E-409C-BE32-E72D297353CC}">
                  <c16:uniqueId val="{00000005-C5C7-48DE-8E2A-7C6580C0D485}"/>
                </c:ext>
              </c:extLst>
            </c:dLbl>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s>
          <c:cat>
            <c:strRef>
              <c:f>Pivot!$A$4:$A$7</c:f>
              <c:strCache>
                <c:ptCount val="3"/>
                <c:pt idx="0">
                  <c:v>Contract</c:v>
                </c:pt>
                <c:pt idx="1">
                  <c:v>Full-Time</c:v>
                </c:pt>
                <c:pt idx="2">
                  <c:v>Part-Time</c:v>
                </c:pt>
              </c:strCache>
            </c:strRef>
          </c:cat>
          <c:val>
            <c:numRef>
              <c:f>Pivot!$B$4:$B$7</c:f>
              <c:numCache>
                <c:formatCode>General</c:formatCode>
                <c:ptCount val="3"/>
                <c:pt idx="0">
                  <c:v>31</c:v>
                </c:pt>
                <c:pt idx="1">
                  <c:v>41</c:v>
                </c:pt>
                <c:pt idx="2">
                  <c:v>28</c:v>
                </c:pt>
              </c:numCache>
            </c:numRef>
          </c:val>
          <c:extLst>
            <c:ext xmlns:c16="http://schemas.microsoft.com/office/drawing/2014/chart" uri="{C3380CC4-5D6E-409C-BE32-E72D297353CC}">
              <c16:uniqueId val="{00000006-C5C7-48DE-8E2A-7C6580C0D485}"/>
            </c:ext>
          </c:extLst>
        </c:ser>
        <c:dLbls>
          <c:dLblPos val="out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Dataset &amp; Analytics Dashboard.xlsm]Pivot!PivotTable7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dLbl>
          <c:idx val="0"/>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DB0055A0-A75A-4AFC-AD98-A080662A42E3}"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8.2271865107963096E-2"/>
                  <c:h val="6.0317267463100059E-2"/>
                </c:manualLayout>
              </c15:layout>
              <c15:dlblFieldTable/>
              <c15:showDataLabelsRange val="0"/>
            </c:ext>
          </c:extLst>
        </c:dLbl>
      </c:pivotFmt>
      <c:pivotFmt>
        <c:idx val="4"/>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5D1A378-E531-42F3-8E07-C6E365D798E0}"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D7101A3-DA9C-480E-A9E7-245F3ABEF839}"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0B7006F-009A-4589-8849-CC5EBBA14718}"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FFFF00"/>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D0F0ED0-9EED-4ED4-987A-D0D209FC1A75}"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Pivot!$W$3</c:f>
              <c:strCache>
                <c:ptCount val="1"/>
                <c:pt idx="0">
                  <c:v>Total</c:v>
                </c:pt>
              </c:strCache>
            </c:strRef>
          </c:tx>
          <c:spPr>
            <a:solidFill>
              <a:srgbClr val="FFFF00"/>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5-66D9-48F2-96D5-AD728F845864}"/>
              </c:ext>
            </c:extLst>
          </c:dPt>
          <c:dPt>
            <c:idx val="1"/>
            <c:invertIfNegative val="0"/>
            <c:bubble3D val="0"/>
            <c:spPr>
              <a:solidFill>
                <a:srgbClr val="FFFF00"/>
              </a:solidFill>
              <a:ln>
                <a:noFill/>
              </a:ln>
              <a:effectLst/>
            </c:spPr>
            <c:extLst>
              <c:ext xmlns:c16="http://schemas.microsoft.com/office/drawing/2014/chart" uri="{C3380CC4-5D6E-409C-BE32-E72D297353CC}">
                <c16:uniqueId val="{00000004-66D9-48F2-96D5-AD728F845864}"/>
              </c:ext>
            </c:extLst>
          </c:dPt>
          <c:dPt>
            <c:idx val="2"/>
            <c:invertIfNegative val="0"/>
            <c:bubble3D val="0"/>
            <c:spPr>
              <a:solidFill>
                <a:srgbClr val="FFFF00"/>
              </a:solidFill>
              <a:ln>
                <a:noFill/>
              </a:ln>
              <a:effectLst/>
            </c:spPr>
            <c:extLst>
              <c:ext xmlns:c16="http://schemas.microsoft.com/office/drawing/2014/chart" uri="{C3380CC4-5D6E-409C-BE32-E72D297353CC}">
                <c16:uniqueId val="{00000003-66D9-48F2-96D5-AD728F845864}"/>
              </c:ext>
            </c:extLst>
          </c:dPt>
          <c:dPt>
            <c:idx val="3"/>
            <c:invertIfNegative val="0"/>
            <c:bubble3D val="0"/>
            <c:spPr>
              <a:solidFill>
                <a:srgbClr val="FFFF00"/>
              </a:solidFill>
              <a:ln>
                <a:noFill/>
              </a:ln>
              <a:effectLst/>
            </c:spPr>
            <c:extLst>
              <c:ext xmlns:c16="http://schemas.microsoft.com/office/drawing/2014/chart" uri="{C3380CC4-5D6E-409C-BE32-E72D297353CC}">
                <c16:uniqueId val="{00000002-66D9-48F2-96D5-AD728F845864}"/>
              </c:ext>
            </c:extLst>
          </c:dPt>
          <c:dPt>
            <c:idx val="4"/>
            <c:invertIfNegative val="0"/>
            <c:bubble3D val="0"/>
            <c:spPr>
              <a:solidFill>
                <a:srgbClr val="FFFF00"/>
              </a:solidFill>
              <a:ln>
                <a:noFill/>
              </a:ln>
              <a:effectLst/>
            </c:spPr>
            <c:extLst>
              <c:ext xmlns:c16="http://schemas.microsoft.com/office/drawing/2014/chart" uri="{C3380CC4-5D6E-409C-BE32-E72D297353CC}">
                <c16:uniqueId val="{00000001-66D9-48F2-96D5-AD728F845864}"/>
              </c:ext>
            </c:extLst>
          </c:dPt>
          <c:dLbls>
            <c:dLbl>
              <c:idx val="0"/>
              <c:tx>
                <c:rich>
                  <a:bodyPr/>
                  <a:lstStyle/>
                  <a:p>
                    <a:fld id="{0D0F0ED0-9EED-4ED4-987A-D0D209FC1A75}"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6D9-48F2-96D5-AD728F845864}"/>
                </c:ext>
              </c:extLst>
            </c:dLbl>
            <c:dLbl>
              <c:idx val="1"/>
              <c:tx>
                <c:rich>
                  <a:bodyPr/>
                  <a:lstStyle/>
                  <a:p>
                    <a:fld id="{D0B7006F-009A-4589-8849-CC5EBBA14718}"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66D9-48F2-96D5-AD728F845864}"/>
                </c:ext>
              </c:extLst>
            </c:dLbl>
            <c:dLbl>
              <c:idx val="2"/>
              <c:tx>
                <c:rich>
                  <a:bodyPr/>
                  <a:lstStyle/>
                  <a:p>
                    <a:fld id="{5D7101A3-DA9C-480E-A9E7-245F3ABEF839}"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6D9-48F2-96D5-AD728F845864}"/>
                </c:ext>
              </c:extLst>
            </c:dLbl>
            <c:dLbl>
              <c:idx val="3"/>
              <c:tx>
                <c:rich>
                  <a:bodyPr/>
                  <a:lstStyle/>
                  <a:p>
                    <a:fld id="{15D1A378-E531-42F3-8E07-C6E365D798E0}" type="VALUE">
                      <a:rPr lang="en-US" sz="2000" b="1">
                        <a:solidFill>
                          <a:schemeClr val="bg1"/>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66D9-48F2-96D5-AD728F845864}"/>
                </c:ext>
              </c:extLst>
            </c:dLbl>
            <c:dLbl>
              <c:idx val="4"/>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DB0055A0-A75A-4AFC-AD98-A080662A42E3}" type="VALUE">
                      <a:rPr lang="en-US" sz="2000" b="1">
                        <a:solidFill>
                          <a:schemeClr val="bg1"/>
                        </a:solidFill>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8.2271865107963096E-2"/>
                      <c:h val="6.0317267463100059E-2"/>
                    </c:manualLayout>
                  </c15:layout>
                  <c15:dlblFieldTable/>
                  <c15:showDataLabelsRange val="0"/>
                </c:ext>
                <c:ext xmlns:c16="http://schemas.microsoft.com/office/drawing/2014/chart" uri="{C3380CC4-5D6E-409C-BE32-E72D297353CC}">
                  <c16:uniqueId val="{00000001-66D9-48F2-96D5-AD728F84586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Pivot!$V$4:$V$9</c:f>
              <c:strCache>
                <c:ptCount val="5"/>
                <c:pt idx="0">
                  <c:v>Central</c:v>
                </c:pt>
                <c:pt idx="1">
                  <c:v>East</c:v>
                </c:pt>
                <c:pt idx="2">
                  <c:v>North</c:v>
                </c:pt>
                <c:pt idx="3">
                  <c:v>South</c:v>
                </c:pt>
                <c:pt idx="4">
                  <c:v>West</c:v>
                </c:pt>
              </c:strCache>
            </c:strRef>
          </c:cat>
          <c:val>
            <c:numRef>
              <c:f>Pivot!$W$4:$W$9</c:f>
              <c:numCache>
                <c:formatCode>General</c:formatCode>
                <c:ptCount val="5"/>
                <c:pt idx="0">
                  <c:v>26</c:v>
                </c:pt>
                <c:pt idx="1">
                  <c:v>19</c:v>
                </c:pt>
                <c:pt idx="2">
                  <c:v>17</c:v>
                </c:pt>
                <c:pt idx="3">
                  <c:v>24</c:v>
                </c:pt>
                <c:pt idx="4">
                  <c:v>14</c:v>
                </c:pt>
              </c:numCache>
            </c:numRef>
          </c:val>
          <c:extLst>
            <c:ext xmlns:c16="http://schemas.microsoft.com/office/drawing/2014/chart" uri="{C3380CC4-5D6E-409C-BE32-E72D297353CC}">
              <c16:uniqueId val="{00000000-66D9-48F2-96D5-AD728F845864}"/>
            </c:ext>
          </c:extLst>
        </c:ser>
        <c:dLbls>
          <c:dLblPos val="outEnd"/>
          <c:showLegendKey val="0"/>
          <c:showVal val="1"/>
          <c:showCatName val="0"/>
          <c:showSerName val="0"/>
          <c:showPercent val="0"/>
          <c:showBubbleSize val="0"/>
        </c:dLbls>
        <c:gapWidth val="70"/>
        <c:axId val="316683839"/>
        <c:axId val="25189503"/>
      </c:barChart>
      <c:catAx>
        <c:axId val="316683839"/>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crossAx val="25189503"/>
        <c:crosses val="autoZero"/>
        <c:auto val="1"/>
        <c:lblAlgn val="ctr"/>
        <c:lblOffset val="100"/>
        <c:noMultiLvlLbl val="0"/>
      </c:catAx>
      <c:valAx>
        <c:axId val="25189503"/>
        <c:scaling>
          <c:orientation val="minMax"/>
        </c:scaling>
        <c:delete val="1"/>
        <c:axPos val="b"/>
        <c:numFmt formatCode="General" sourceLinked="1"/>
        <c:majorTickMark val="out"/>
        <c:minorTickMark val="none"/>
        <c:tickLblPos val="nextTo"/>
        <c:crossAx val="316683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chart" Target="../charts/chart12.xml"/><Relationship Id="rId18" Type="http://schemas.openxmlformats.org/officeDocument/2006/relationships/image" Target="../media/image10.png"/><Relationship Id="rId3" Type="http://schemas.openxmlformats.org/officeDocument/2006/relationships/image" Target="../media/image3.png"/><Relationship Id="rId7" Type="http://schemas.openxmlformats.org/officeDocument/2006/relationships/chart" Target="../charts/chart10.xml"/><Relationship Id="rId12" Type="http://schemas.openxmlformats.org/officeDocument/2006/relationships/image" Target="../media/image9.svg"/><Relationship Id="rId17" Type="http://schemas.openxmlformats.org/officeDocument/2006/relationships/chart" Target="../charts/chart16.xml"/><Relationship Id="rId2" Type="http://schemas.openxmlformats.org/officeDocument/2006/relationships/image" Target="../media/image2.png"/><Relationship Id="rId16" Type="http://schemas.openxmlformats.org/officeDocument/2006/relationships/chart" Target="../charts/chart15.xml"/><Relationship Id="rId1" Type="http://schemas.openxmlformats.org/officeDocument/2006/relationships/image" Target="../media/image1.png"/><Relationship Id="rId6" Type="http://schemas.openxmlformats.org/officeDocument/2006/relationships/chart" Target="../charts/chart9.xml"/><Relationship Id="rId11" Type="http://schemas.openxmlformats.org/officeDocument/2006/relationships/image" Target="../media/image8.png"/><Relationship Id="rId5" Type="http://schemas.openxmlformats.org/officeDocument/2006/relationships/image" Target="../media/image5.svg"/><Relationship Id="rId15" Type="http://schemas.openxmlformats.org/officeDocument/2006/relationships/chart" Target="../charts/chart14.xml"/><Relationship Id="rId10" Type="http://schemas.openxmlformats.org/officeDocument/2006/relationships/chart" Target="../charts/chart11.xml"/><Relationship Id="rId19" Type="http://schemas.openxmlformats.org/officeDocument/2006/relationships/image" Target="../media/image11.svg"/><Relationship Id="rId4" Type="http://schemas.openxmlformats.org/officeDocument/2006/relationships/image" Target="../media/image4.png"/><Relationship Id="rId9" Type="http://schemas.openxmlformats.org/officeDocument/2006/relationships/image" Target="../media/image7.svg"/><Relationship Id="rId1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9525</xdr:colOff>
      <xdr:row>17</xdr:row>
      <xdr:rowOff>185737</xdr:rowOff>
    </xdr:from>
    <xdr:to>
      <xdr:col>7</xdr:col>
      <xdr:colOff>76200</xdr:colOff>
      <xdr:row>32</xdr:row>
      <xdr:rowOff>61912</xdr:rowOff>
    </xdr:to>
    <xdr:graphicFrame macro="">
      <xdr:nvGraphicFramePr>
        <xdr:cNvPr id="2" name="Chart 1">
          <a:extLst>
            <a:ext uri="{FF2B5EF4-FFF2-40B4-BE49-F238E27FC236}">
              <a16:creationId xmlns:a16="http://schemas.microsoft.com/office/drawing/2014/main" id="{27E5CBB3-801D-C29B-8A93-73B9C31276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80962</xdr:colOff>
      <xdr:row>16</xdr:row>
      <xdr:rowOff>52387</xdr:rowOff>
    </xdr:from>
    <xdr:to>
      <xdr:col>17</xdr:col>
      <xdr:colOff>1147762</xdr:colOff>
      <xdr:row>30</xdr:row>
      <xdr:rowOff>109537</xdr:rowOff>
    </xdr:to>
    <xdr:graphicFrame macro="">
      <xdr:nvGraphicFramePr>
        <xdr:cNvPr id="3" name="Chart 2">
          <a:extLst>
            <a:ext uri="{FF2B5EF4-FFF2-40B4-BE49-F238E27FC236}">
              <a16:creationId xmlns:a16="http://schemas.microsoft.com/office/drawing/2014/main" id="{855F7098-4031-52ED-2CA9-19F98D40E2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36</xdr:row>
      <xdr:rowOff>42862</xdr:rowOff>
    </xdr:from>
    <xdr:to>
      <xdr:col>7</xdr:col>
      <xdr:colOff>66675</xdr:colOff>
      <xdr:row>50</xdr:row>
      <xdr:rowOff>119062</xdr:rowOff>
    </xdr:to>
    <xdr:graphicFrame macro="">
      <xdr:nvGraphicFramePr>
        <xdr:cNvPr id="5" name="Chart 4">
          <a:extLst>
            <a:ext uri="{FF2B5EF4-FFF2-40B4-BE49-F238E27FC236}">
              <a16:creationId xmlns:a16="http://schemas.microsoft.com/office/drawing/2014/main" id="{5E4A497B-3638-1C7D-F8AD-E84482EAF5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1562100</xdr:colOff>
      <xdr:row>23</xdr:row>
      <xdr:rowOff>52387</xdr:rowOff>
    </xdr:from>
    <xdr:to>
      <xdr:col>24</xdr:col>
      <xdr:colOff>561975</xdr:colOff>
      <xdr:row>37</xdr:row>
      <xdr:rowOff>128587</xdr:rowOff>
    </xdr:to>
    <xdr:graphicFrame macro="">
      <xdr:nvGraphicFramePr>
        <xdr:cNvPr id="6" name="Chart 5">
          <a:extLst>
            <a:ext uri="{FF2B5EF4-FFF2-40B4-BE49-F238E27FC236}">
              <a16:creationId xmlns:a16="http://schemas.microsoft.com/office/drawing/2014/main" id="{26A9A699-B391-4E31-4711-95DD31260A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309562</xdr:colOff>
      <xdr:row>17</xdr:row>
      <xdr:rowOff>147637</xdr:rowOff>
    </xdr:from>
    <xdr:to>
      <xdr:col>33</xdr:col>
      <xdr:colOff>4762</xdr:colOff>
      <xdr:row>32</xdr:row>
      <xdr:rowOff>23812</xdr:rowOff>
    </xdr:to>
    <xdr:graphicFrame macro="">
      <xdr:nvGraphicFramePr>
        <xdr:cNvPr id="7" name="Chart 6">
          <a:extLst>
            <a:ext uri="{FF2B5EF4-FFF2-40B4-BE49-F238E27FC236}">
              <a16:creationId xmlns:a16="http://schemas.microsoft.com/office/drawing/2014/main" id="{F3E3F7C8-0F8E-CA26-B371-DCCA1E7CCE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1604962</xdr:colOff>
      <xdr:row>39</xdr:row>
      <xdr:rowOff>4762</xdr:rowOff>
    </xdr:from>
    <xdr:to>
      <xdr:col>24</xdr:col>
      <xdr:colOff>604837</xdr:colOff>
      <xdr:row>53</xdr:row>
      <xdr:rowOff>80962</xdr:rowOff>
    </xdr:to>
    <xdr:graphicFrame macro="">
      <xdr:nvGraphicFramePr>
        <xdr:cNvPr id="9" name="Chart 8">
          <a:extLst>
            <a:ext uri="{FF2B5EF4-FFF2-40B4-BE49-F238E27FC236}">
              <a16:creationId xmlns:a16="http://schemas.microsoft.com/office/drawing/2014/main" id="{B5DDBDF4-CCFB-415C-04D6-0A8A2BED1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361950</xdr:colOff>
      <xdr:row>38</xdr:row>
      <xdr:rowOff>90487</xdr:rowOff>
    </xdr:from>
    <xdr:to>
      <xdr:col>14</xdr:col>
      <xdr:colOff>352425</xdr:colOff>
      <xdr:row>52</xdr:row>
      <xdr:rowOff>166687</xdr:rowOff>
    </xdr:to>
    <xdr:graphicFrame macro="">
      <xdr:nvGraphicFramePr>
        <xdr:cNvPr id="4" name="Chart 3">
          <a:extLst>
            <a:ext uri="{FF2B5EF4-FFF2-40B4-BE49-F238E27FC236}">
              <a16:creationId xmlns:a16="http://schemas.microsoft.com/office/drawing/2014/main" id="{223E9BB3-9F66-9B1A-ECC8-C7631EA9CD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542925</xdr:colOff>
      <xdr:row>0</xdr:row>
      <xdr:rowOff>176212</xdr:rowOff>
    </xdr:from>
    <xdr:to>
      <xdr:col>32</xdr:col>
      <xdr:colOff>238125</xdr:colOff>
      <xdr:row>15</xdr:row>
      <xdr:rowOff>14287</xdr:rowOff>
    </xdr:to>
    <xdr:graphicFrame macro="">
      <xdr:nvGraphicFramePr>
        <xdr:cNvPr id="8" name="Chart 7">
          <a:extLst>
            <a:ext uri="{FF2B5EF4-FFF2-40B4-BE49-F238E27FC236}">
              <a16:creationId xmlns:a16="http://schemas.microsoft.com/office/drawing/2014/main" id="{26FDD8CF-976F-3DB3-F503-DB8B8E11AF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15</xdr:col>
      <xdr:colOff>142875</xdr:colOff>
      <xdr:row>42</xdr:row>
      <xdr:rowOff>114300</xdr:rowOff>
    </xdr:from>
    <xdr:to>
      <xdr:col>17</xdr:col>
      <xdr:colOff>752475</xdr:colOff>
      <xdr:row>48</xdr:row>
      <xdr:rowOff>9525</xdr:rowOff>
    </xdr:to>
    <mc:AlternateContent xmlns:mc="http://schemas.openxmlformats.org/markup-compatibility/2006" xmlns:a14="http://schemas.microsoft.com/office/drawing/2010/main">
      <mc:Choice Requires="a14">
        <xdr:graphicFrame macro="">
          <xdr:nvGraphicFramePr>
            <xdr:cNvPr id="16" name="Gender">
              <a:extLst>
                <a:ext uri="{FF2B5EF4-FFF2-40B4-BE49-F238E27FC236}">
                  <a16:creationId xmlns:a16="http://schemas.microsoft.com/office/drawing/2014/main" id="{351F8511-0082-874B-8D8D-CAF4B214038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839325" y="8191500"/>
              <a:ext cx="1828800" cy="1038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419100</xdr:colOff>
      <xdr:row>31</xdr:row>
      <xdr:rowOff>28575</xdr:rowOff>
    </xdr:from>
    <xdr:to>
      <xdr:col>17</xdr:col>
      <xdr:colOff>419100</xdr:colOff>
      <xdr:row>41</xdr:row>
      <xdr:rowOff>19050</xdr:rowOff>
    </xdr:to>
    <mc:AlternateContent xmlns:mc="http://schemas.openxmlformats.org/markup-compatibility/2006" xmlns:a14="http://schemas.microsoft.com/office/drawing/2010/main">
      <mc:Choice Requires="a14">
        <xdr:graphicFrame macro="">
          <xdr:nvGraphicFramePr>
            <xdr:cNvPr id="18" name="Department">
              <a:extLst>
                <a:ext uri="{FF2B5EF4-FFF2-40B4-BE49-F238E27FC236}">
                  <a16:creationId xmlns:a16="http://schemas.microsoft.com/office/drawing/2014/main" id="{F8E1A78C-C70A-D061-2795-3661A85AA996}"/>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9505950" y="6010275"/>
              <a:ext cx="1828800"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304800</xdr:colOff>
      <xdr:row>27</xdr:row>
      <xdr:rowOff>76200</xdr:rowOff>
    </xdr:from>
    <xdr:to>
      <xdr:col>10</xdr:col>
      <xdr:colOff>409575</xdr:colOff>
      <xdr:row>37</xdr:row>
      <xdr:rowOff>142875</xdr:rowOff>
    </xdr:to>
    <mc:AlternateContent xmlns:mc="http://schemas.openxmlformats.org/markup-compatibility/2006" xmlns:a14="http://schemas.microsoft.com/office/drawing/2010/main">
      <mc:Choice Requires="a14">
        <xdr:graphicFrame macro="">
          <xdr:nvGraphicFramePr>
            <xdr:cNvPr id="19" name="Region">
              <a:extLst>
                <a:ext uri="{FF2B5EF4-FFF2-40B4-BE49-F238E27FC236}">
                  <a16:creationId xmlns:a16="http://schemas.microsoft.com/office/drawing/2014/main" id="{99815DF1-BA3E-5F3E-A33B-FCC34999CE1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810125" y="5295900"/>
              <a:ext cx="1828800" cy="1971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266385</xdr:colOff>
      <xdr:row>5</xdr:row>
      <xdr:rowOff>113493</xdr:rowOff>
    </xdr:from>
    <xdr:to>
      <xdr:col>70</xdr:col>
      <xdr:colOff>557290</xdr:colOff>
      <xdr:row>126</xdr:row>
      <xdr:rowOff>53473</xdr:rowOff>
    </xdr:to>
    <xdr:sp macro="" textlink="">
      <xdr:nvSpPr>
        <xdr:cNvPr id="3" name="Rectangle: Rounded Corners 2">
          <a:extLst>
            <a:ext uri="{FF2B5EF4-FFF2-40B4-BE49-F238E27FC236}">
              <a16:creationId xmlns:a16="http://schemas.microsoft.com/office/drawing/2014/main" id="{BCE15C6D-4C56-FA03-1281-9E33C2EA96AA}"/>
            </a:ext>
          </a:extLst>
        </xdr:cNvPr>
        <xdr:cNvSpPr/>
      </xdr:nvSpPr>
      <xdr:spPr>
        <a:xfrm>
          <a:off x="2052323" y="1006462"/>
          <a:ext cx="40176842" cy="2154982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165806</xdr:colOff>
      <xdr:row>10</xdr:row>
      <xdr:rowOff>148033</xdr:rowOff>
    </xdr:from>
    <xdr:to>
      <xdr:col>63</xdr:col>
      <xdr:colOff>197556</xdr:colOff>
      <xdr:row>22</xdr:row>
      <xdr:rowOff>123472</xdr:rowOff>
    </xdr:to>
    <xdr:sp macro="" textlink="">
      <xdr:nvSpPr>
        <xdr:cNvPr id="4" name="Rectangle: Rounded Corners 3">
          <a:extLst>
            <a:ext uri="{FF2B5EF4-FFF2-40B4-BE49-F238E27FC236}">
              <a16:creationId xmlns:a16="http://schemas.microsoft.com/office/drawing/2014/main" id="{ABB99305-F4DA-40EC-BA4C-0E40C410D0F2}"/>
            </a:ext>
          </a:extLst>
        </xdr:cNvPr>
        <xdr:cNvSpPr/>
      </xdr:nvSpPr>
      <xdr:spPr>
        <a:xfrm>
          <a:off x="10643306" y="2109062"/>
          <a:ext cx="28382632" cy="2328675"/>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24</xdr:row>
      <xdr:rowOff>121393</xdr:rowOff>
    </xdr:from>
    <xdr:to>
      <xdr:col>63</xdr:col>
      <xdr:colOff>72965</xdr:colOff>
      <xdr:row>28</xdr:row>
      <xdr:rowOff>158750</xdr:rowOff>
    </xdr:to>
    <xdr:sp macro="" textlink="">
      <xdr:nvSpPr>
        <xdr:cNvPr id="5" name="Rectangle: Rounded Corners 4">
          <a:extLst>
            <a:ext uri="{FF2B5EF4-FFF2-40B4-BE49-F238E27FC236}">
              <a16:creationId xmlns:a16="http://schemas.microsoft.com/office/drawing/2014/main" id="{18F055EF-2C99-444C-AC08-7BFAF7C80CD3}"/>
            </a:ext>
          </a:extLst>
        </xdr:cNvPr>
        <xdr:cNvSpPr/>
      </xdr:nvSpPr>
      <xdr:spPr>
        <a:xfrm>
          <a:off x="10195278" y="4354726"/>
          <a:ext cx="27660187" cy="742913"/>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16473</xdr:colOff>
      <xdr:row>10</xdr:row>
      <xdr:rowOff>153142</xdr:rowOff>
    </xdr:from>
    <xdr:to>
      <xdr:col>16</xdr:col>
      <xdr:colOff>197508</xdr:colOff>
      <xdr:row>28</xdr:row>
      <xdr:rowOff>158750</xdr:rowOff>
    </xdr:to>
    <xdr:sp macro="" textlink="">
      <xdr:nvSpPr>
        <xdr:cNvPr id="6" name="Rectangle: Rounded Corners 5">
          <a:extLst>
            <a:ext uri="{FF2B5EF4-FFF2-40B4-BE49-F238E27FC236}">
              <a16:creationId xmlns:a16="http://schemas.microsoft.com/office/drawing/2014/main" id="{2838CB1F-29BE-448F-91F5-61EB51E33BD4}"/>
            </a:ext>
          </a:extLst>
        </xdr:cNvPr>
        <xdr:cNvSpPr/>
      </xdr:nvSpPr>
      <xdr:spPr>
        <a:xfrm>
          <a:off x="6796032" y="2114171"/>
          <a:ext cx="3262652" cy="3535461"/>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16473</xdr:colOff>
      <xdr:row>30</xdr:row>
      <xdr:rowOff>115262</xdr:rowOff>
    </xdr:from>
    <xdr:to>
      <xdr:col>20</xdr:col>
      <xdr:colOff>559831</xdr:colOff>
      <xdr:row>44</xdr:row>
      <xdr:rowOff>25619</xdr:rowOff>
    </xdr:to>
    <xdr:sp macro="" textlink="">
      <xdr:nvSpPr>
        <xdr:cNvPr id="7" name="Rectangle: Rounded Corners 6">
          <a:extLst>
            <a:ext uri="{FF2B5EF4-FFF2-40B4-BE49-F238E27FC236}">
              <a16:creationId xmlns:a16="http://schemas.microsoft.com/office/drawing/2014/main" id="{D6D61B8D-9AF1-4C64-AC7C-0E565899A6EF}"/>
            </a:ext>
          </a:extLst>
        </xdr:cNvPr>
        <xdr:cNvSpPr/>
      </xdr:nvSpPr>
      <xdr:spPr>
        <a:xfrm>
          <a:off x="6796032" y="5998350"/>
          <a:ext cx="6090270" cy="2655798"/>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128015</xdr:colOff>
      <xdr:row>30</xdr:row>
      <xdr:rowOff>115262</xdr:rowOff>
    </xdr:from>
    <xdr:to>
      <xdr:col>63</xdr:col>
      <xdr:colOff>72965</xdr:colOff>
      <xdr:row>44</xdr:row>
      <xdr:rowOff>25619</xdr:rowOff>
    </xdr:to>
    <xdr:sp macro="" textlink="">
      <xdr:nvSpPr>
        <xdr:cNvPr id="17" name="Rectangle: Rounded Corners 16">
          <a:extLst>
            <a:ext uri="{FF2B5EF4-FFF2-40B4-BE49-F238E27FC236}">
              <a16:creationId xmlns:a16="http://schemas.microsoft.com/office/drawing/2014/main" id="{572330A5-B2A0-46D4-B61E-A09BAE4BD360}"/>
            </a:ext>
          </a:extLst>
        </xdr:cNvPr>
        <xdr:cNvSpPr/>
      </xdr:nvSpPr>
      <xdr:spPr>
        <a:xfrm>
          <a:off x="32253242" y="5310717"/>
          <a:ext cx="6006314" cy="2334902"/>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443455</xdr:colOff>
      <xdr:row>30</xdr:row>
      <xdr:rowOff>115262</xdr:rowOff>
    </xdr:from>
    <xdr:to>
      <xdr:col>52</xdr:col>
      <xdr:colOff>370489</xdr:colOff>
      <xdr:row>44</xdr:row>
      <xdr:rowOff>25619</xdr:rowOff>
    </xdr:to>
    <xdr:sp macro="" textlink="">
      <xdr:nvSpPr>
        <xdr:cNvPr id="18" name="Rectangle: Rounded Corners 17">
          <a:extLst>
            <a:ext uri="{FF2B5EF4-FFF2-40B4-BE49-F238E27FC236}">
              <a16:creationId xmlns:a16="http://schemas.microsoft.com/office/drawing/2014/main" id="{713ED4B4-B2B6-475C-AC28-A8CBBC05DA9C}"/>
            </a:ext>
          </a:extLst>
        </xdr:cNvPr>
        <xdr:cNvSpPr/>
      </xdr:nvSpPr>
      <xdr:spPr>
        <a:xfrm>
          <a:off x="26329043" y="5998350"/>
          <a:ext cx="6090270" cy="2655798"/>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234563</xdr:colOff>
      <xdr:row>30</xdr:row>
      <xdr:rowOff>114780</xdr:rowOff>
    </xdr:from>
    <xdr:to>
      <xdr:col>42</xdr:col>
      <xdr:colOff>161598</xdr:colOff>
      <xdr:row>44</xdr:row>
      <xdr:rowOff>26102</xdr:rowOff>
    </xdr:to>
    <xdr:sp macro="" textlink="">
      <xdr:nvSpPr>
        <xdr:cNvPr id="19" name="Rectangle: Rounded Corners 18">
          <a:extLst>
            <a:ext uri="{FF2B5EF4-FFF2-40B4-BE49-F238E27FC236}">
              <a16:creationId xmlns:a16="http://schemas.microsoft.com/office/drawing/2014/main" id="{C0E97956-1CB5-4F6A-932E-D8B19551E16E}"/>
            </a:ext>
          </a:extLst>
        </xdr:cNvPr>
        <xdr:cNvSpPr/>
      </xdr:nvSpPr>
      <xdr:spPr>
        <a:xfrm>
          <a:off x="19956916" y="5997868"/>
          <a:ext cx="6090270" cy="2656763"/>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584031</xdr:colOff>
      <xdr:row>30</xdr:row>
      <xdr:rowOff>107925</xdr:rowOff>
    </xdr:from>
    <xdr:to>
      <xdr:col>31</xdr:col>
      <xdr:colOff>511066</xdr:colOff>
      <xdr:row>44</xdr:row>
      <xdr:rowOff>32957</xdr:rowOff>
    </xdr:to>
    <xdr:sp macro="" textlink="">
      <xdr:nvSpPr>
        <xdr:cNvPr id="20" name="Rectangle: Rounded Corners 19">
          <a:extLst>
            <a:ext uri="{FF2B5EF4-FFF2-40B4-BE49-F238E27FC236}">
              <a16:creationId xmlns:a16="http://schemas.microsoft.com/office/drawing/2014/main" id="{D520E1A2-BC50-42A4-B607-00C05C0045A4}"/>
            </a:ext>
          </a:extLst>
        </xdr:cNvPr>
        <xdr:cNvSpPr/>
      </xdr:nvSpPr>
      <xdr:spPr>
        <a:xfrm>
          <a:off x="13526825" y="5991013"/>
          <a:ext cx="6090270" cy="2670473"/>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16473</xdr:colOff>
      <xdr:row>45</xdr:row>
      <xdr:rowOff>142194</xdr:rowOff>
    </xdr:from>
    <xdr:to>
      <xdr:col>20</xdr:col>
      <xdr:colOff>559831</xdr:colOff>
      <xdr:row>81</xdr:row>
      <xdr:rowOff>97220</xdr:rowOff>
    </xdr:to>
    <xdr:sp macro="" textlink="">
      <xdr:nvSpPr>
        <xdr:cNvPr id="21" name="Rectangle: Rounded Corners 20">
          <a:extLst>
            <a:ext uri="{FF2B5EF4-FFF2-40B4-BE49-F238E27FC236}">
              <a16:creationId xmlns:a16="http://schemas.microsoft.com/office/drawing/2014/main" id="{4DE7B36F-A000-401B-869E-930260B0A1E8}"/>
            </a:ext>
          </a:extLst>
        </xdr:cNvPr>
        <xdr:cNvSpPr/>
      </xdr:nvSpPr>
      <xdr:spPr>
        <a:xfrm>
          <a:off x="6796032" y="8966826"/>
          <a:ext cx="6090270" cy="7014732"/>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16473</xdr:colOff>
      <xdr:row>83</xdr:row>
      <xdr:rowOff>131684</xdr:rowOff>
    </xdr:from>
    <xdr:to>
      <xdr:col>20</xdr:col>
      <xdr:colOff>567560</xdr:colOff>
      <xdr:row>119</xdr:row>
      <xdr:rowOff>86710</xdr:rowOff>
    </xdr:to>
    <xdr:sp macro="" textlink="">
      <xdr:nvSpPr>
        <xdr:cNvPr id="22" name="Rectangle: Rounded Corners 21">
          <a:extLst>
            <a:ext uri="{FF2B5EF4-FFF2-40B4-BE49-F238E27FC236}">
              <a16:creationId xmlns:a16="http://schemas.microsoft.com/office/drawing/2014/main" id="{C8E70595-42AD-42C4-BBF1-DB41B6ABF235}"/>
            </a:ext>
          </a:extLst>
        </xdr:cNvPr>
        <xdr:cNvSpPr/>
      </xdr:nvSpPr>
      <xdr:spPr>
        <a:xfrm>
          <a:off x="6796032" y="16408228"/>
          <a:ext cx="6097999" cy="7014732"/>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310980</xdr:colOff>
      <xdr:row>45</xdr:row>
      <xdr:rowOff>142194</xdr:rowOff>
    </xdr:from>
    <xdr:to>
      <xdr:col>36</xdr:col>
      <xdr:colOff>491578</xdr:colOff>
      <xdr:row>81</xdr:row>
      <xdr:rowOff>97220</xdr:rowOff>
    </xdr:to>
    <xdr:sp macro="" textlink="">
      <xdr:nvSpPr>
        <xdr:cNvPr id="23" name="Rectangle: Rounded Corners 22">
          <a:extLst>
            <a:ext uri="{FF2B5EF4-FFF2-40B4-BE49-F238E27FC236}">
              <a16:creationId xmlns:a16="http://schemas.microsoft.com/office/drawing/2014/main" id="{403B5E45-6474-4D84-8E13-880A1388E7D8}"/>
            </a:ext>
          </a:extLst>
        </xdr:cNvPr>
        <xdr:cNvSpPr/>
      </xdr:nvSpPr>
      <xdr:spPr>
        <a:xfrm>
          <a:off x="13253774" y="8966826"/>
          <a:ext cx="9425451" cy="7014732"/>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201715</xdr:colOff>
      <xdr:row>45</xdr:row>
      <xdr:rowOff>92659</xdr:rowOff>
    </xdr:from>
    <xdr:to>
      <xdr:col>52</xdr:col>
      <xdr:colOff>382313</xdr:colOff>
      <xdr:row>81</xdr:row>
      <xdr:rowOff>146755</xdr:rowOff>
    </xdr:to>
    <xdr:sp macro="" textlink="">
      <xdr:nvSpPr>
        <xdr:cNvPr id="29" name="Rectangle: Rounded Corners 28">
          <a:extLst>
            <a:ext uri="{FF2B5EF4-FFF2-40B4-BE49-F238E27FC236}">
              <a16:creationId xmlns:a16="http://schemas.microsoft.com/office/drawing/2014/main" id="{7A61C540-CAD1-44D6-B42C-D75CC912B341}"/>
            </a:ext>
          </a:extLst>
        </xdr:cNvPr>
        <xdr:cNvSpPr/>
      </xdr:nvSpPr>
      <xdr:spPr>
        <a:xfrm>
          <a:off x="23005686" y="8917291"/>
          <a:ext cx="9425451" cy="7113802"/>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145931</xdr:colOff>
      <xdr:row>45</xdr:row>
      <xdr:rowOff>141711</xdr:rowOff>
    </xdr:from>
    <xdr:to>
      <xdr:col>63</xdr:col>
      <xdr:colOff>72965</xdr:colOff>
      <xdr:row>81</xdr:row>
      <xdr:rowOff>97703</xdr:rowOff>
    </xdr:to>
    <xdr:sp macro="" textlink="">
      <xdr:nvSpPr>
        <xdr:cNvPr id="31" name="Rectangle: Rounded Corners 30">
          <a:extLst>
            <a:ext uri="{FF2B5EF4-FFF2-40B4-BE49-F238E27FC236}">
              <a16:creationId xmlns:a16="http://schemas.microsoft.com/office/drawing/2014/main" id="{0DC82CBF-2920-4251-AEDD-2A215A2C0677}"/>
            </a:ext>
          </a:extLst>
        </xdr:cNvPr>
        <xdr:cNvSpPr/>
      </xdr:nvSpPr>
      <xdr:spPr>
        <a:xfrm>
          <a:off x="32454731" y="8714211"/>
          <a:ext cx="6023034" cy="6813992"/>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267406</xdr:colOff>
      <xdr:row>83</xdr:row>
      <xdr:rowOff>130718</xdr:rowOff>
    </xdr:from>
    <xdr:to>
      <xdr:col>36</xdr:col>
      <xdr:colOff>448004</xdr:colOff>
      <xdr:row>119</xdr:row>
      <xdr:rowOff>86710</xdr:rowOff>
    </xdr:to>
    <xdr:sp macro="" textlink="">
      <xdr:nvSpPr>
        <xdr:cNvPr id="32" name="Rectangle: Rounded Corners 31">
          <a:extLst>
            <a:ext uri="{FF2B5EF4-FFF2-40B4-BE49-F238E27FC236}">
              <a16:creationId xmlns:a16="http://schemas.microsoft.com/office/drawing/2014/main" id="{CA350C0C-6281-4200-97CD-2C78F723F0B2}"/>
            </a:ext>
          </a:extLst>
        </xdr:cNvPr>
        <xdr:cNvSpPr/>
      </xdr:nvSpPr>
      <xdr:spPr>
        <a:xfrm>
          <a:off x="12996270" y="14504809"/>
          <a:ext cx="9272643" cy="6190537"/>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154398</xdr:colOff>
      <xdr:row>83</xdr:row>
      <xdr:rowOff>130718</xdr:rowOff>
    </xdr:from>
    <xdr:to>
      <xdr:col>47</xdr:col>
      <xdr:colOff>392206</xdr:colOff>
      <xdr:row>119</xdr:row>
      <xdr:rowOff>85745</xdr:rowOff>
    </xdr:to>
    <xdr:sp macro="" textlink="">
      <xdr:nvSpPr>
        <xdr:cNvPr id="33" name="Rectangle: Rounded Corners 32">
          <a:extLst>
            <a:ext uri="{FF2B5EF4-FFF2-40B4-BE49-F238E27FC236}">
              <a16:creationId xmlns:a16="http://schemas.microsoft.com/office/drawing/2014/main" id="{27050E8B-B0E2-4FCA-93AE-63F8D0DCDBFA}"/>
            </a:ext>
          </a:extLst>
        </xdr:cNvPr>
        <xdr:cNvSpPr/>
      </xdr:nvSpPr>
      <xdr:spPr>
        <a:xfrm>
          <a:off x="22581443" y="14504809"/>
          <a:ext cx="6299172" cy="6189572"/>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151768</xdr:colOff>
      <xdr:row>11</xdr:row>
      <xdr:rowOff>147265</xdr:rowOff>
    </xdr:from>
    <xdr:to>
      <xdr:col>66</xdr:col>
      <xdr:colOff>95250</xdr:colOff>
      <xdr:row>21</xdr:row>
      <xdr:rowOff>62599</xdr:rowOff>
    </xdr:to>
    <xdr:sp macro="" textlink="">
      <xdr:nvSpPr>
        <xdr:cNvPr id="34" name="TextBox 33">
          <a:extLst>
            <a:ext uri="{FF2B5EF4-FFF2-40B4-BE49-F238E27FC236}">
              <a16:creationId xmlns:a16="http://schemas.microsoft.com/office/drawing/2014/main" id="{1A41C804-98F4-A033-C380-18D9E5372611}"/>
            </a:ext>
          </a:extLst>
        </xdr:cNvPr>
        <xdr:cNvSpPr txBox="1"/>
      </xdr:nvSpPr>
      <xdr:spPr>
        <a:xfrm>
          <a:off x="8597268" y="2242765"/>
          <a:ext cx="31312482" cy="1820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500" b="1">
              <a:solidFill>
                <a:srgbClr val="FFFF00"/>
              </a:solidFill>
              <a:latin typeface="Aptos Display" panose="020B0004020202020204" pitchFamily="34" charset="0"/>
            </a:rPr>
            <a:t>HR</a:t>
          </a:r>
          <a:r>
            <a:rPr lang="en-US" sz="11500" b="1" baseline="0">
              <a:solidFill>
                <a:srgbClr val="FFFF00"/>
              </a:solidFill>
              <a:latin typeface="Aptos Display" panose="020B0004020202020204" pitchFamily="34" charset="0"/>
            </a:rPr>
            <a:t> WORKFORCE ANALYTICS DASHBOARD</a:t>
          </a:r>
          <a:endParaRPr lang="en-US" sz="11500" b="1">
            <a:solidFill>
              <a:srgbClr val="FFFF00"/>
            </a:solidFill>
            <a:latin typeface="Aptos Display" panose="020B0004020202020204" pitchFamily="34" charset="0"/>
          </a:endParaRPr>
        </a:p>
      </xdr:txBody>
    </xdr:sp>
    <xdr:clientData/>
  </xdr:twoCellAnchor>
  <xdr:twoCellAnchor>
    <xdr:from>
      <xdr:col>12</xdr:col>
      <xdr:colOff>209360</xdr:colOff>
      <xdr:row>30</xdr:row>
      <xdr:rowOff>112751</xdr:rowOff>
    </xdr:from>
    <xdr:to>
      <xdr:col>16</xdr:col>
      <xdr:colOff>521794</xdr:colOff>
      <xdr:row>36</xdr:row>
      <xdr:rowOff>180221</xdr:rowOff>
    </xdr:to>
    <xdr:sp macro="" textlink="">
      <xdr:nvSpPr>
        <xdr:cNvPr id="35" name="TextBox 34">
          <a:extLst>
            <a:ext uri="{FF2B5EF4-FFF2-40B4-BE49-F238E27FC236}">
              <a16:creationId xmlns:a16="http://schemas.microsoft.com/office/drawing/2014/main" id="{0BAFA934-EBDA-C4D2-B1BD-EC3B868C8856}"/>
            </a:ext>
          </a:extLst>
        </xdr:cNvPr>
        <xdr:cNvSpPr txBox="1"/>
      </xdr:nvSpPr>
      <xdr:spPr>
        <a:xfrm>
          <a:off x="7517065" y="5734062"/>
          <a:ext cx="2748336" cy="1191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latin typeface="Aptos Display" panose="020B0004020202020204" pitchFamily="34" charset="0"/>
            </a:rPr>
            <a:t>Total</a:t>
          </a:r>
          <a:r>
            <a:rPr lang="en-US" sz="3200" b="1" baseline="0">
              <a:solidFill>
                <a:schemeClr val="bg1"/>
              </a:solidFill>
              <a:latin typeface="Aptos Display" panose="020B0004020202020204" pitchFamily="34" charset="0"/>
            </a:rPr>
            <a:t> Employees</a:t>
          </a:r>
          <a:endParaRPr lang="en-US" sz="3200" b="1">
            <a:solidFill>
              <a:schemeClr val="bg1"/>
            </a:solidFill>
            <a:latin typeface="Aptos Display" panose="020B0004020202020204" pitchFamily="34" charset="0"/>
          </a:endParaRPr>
        </a:p>
      </xdr:txBody>
    </xdr:sp>
    <xdr:clientData/>
  </xdr:twoCellAnchor>
  <xdr:twoCellAnchor>
    <xdr:from>
      <xdr:col>22</xdr:col>
      <xdr:colOff>38403</xdr:colOff>
      <xdr:row>30</xdr:row>
      <xdr:rowOff>172668</xdr:rowOff>
    </xdr:from>
    <xdr:to>
      <xdr:col>28</xdr:col>
      <xdr:colOff>0</xdr:colOff>
      <xdr:row>37</xdr:row>
      <xdr:rowOff>79375</xdr:rowOff>
    </xdr:to>
    <xdr:sp macro="" textlink="">
      <xdr:nvSpPr>
        <xdr:cNvPr id="38" name="TextBox 37">
          <a:extLst>
            <a:ext uri="{FF2B5EF4-FFF2-40B4-BE49-F238E27FC236}">
              <a16:creationId xmlns:a16="http://schemas.microsoft.com/office/drawing/2014/main" id="{01AFCBCC-F67E-45B7-927B-C432DF18BB1D}"/>
            </a:ext>
          </a:extLst>
        </xdr:cNvPr>
        <xdr:cNvSpPr txBox="1"/>
      </xdr:nvSpPr>
      <xdr:spPr>
        <a:xfrm>
          <a:off x="13135278" y="6125793"/>
          <a:ext cx="3533472" cy="1295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latin typeface="Aptos Display" panose="020B0004020202020204" pitchFamily="34" charset="0"/>
            </a:rPr>
            <a:t>Avg Performance Rating</a:t>
          </a:r>
        </a:p>
      </xdr:txBody>
    </xdr:sp>
    <xdr:clientData/>
  </xdr:twoCellAnchor>
  <xdr:twoCellAnchor>
    <xdr:from>
      <xdr:col>32</xdr:col>
      <xdr:colOff>578390</xdr:colOff>
      <xdr:row>30</xdr:row>
      <xdr:rowOff>141829</xdr:rowOff>
    </xdr:from>
    <xdr:to>
      <xdr:col>37</xdr:col>
      <xdr:colOff>79375</xdr:colOff>
      <xdr:row>38</xdr:row>
      <xdr:rowOff>39688</xdr:rowOff>
    </xdr:to>
    <xdr:sp macro="" textlink="">
      <xdr:nvSpPr>
        <xdr:cNvPr id="39" name="TextBox 38">
          <a:extLst>
            <a:ext uri="{FF2B5EF4-FFF2-40B4-BE49-F238E27FC236}">
              <a16:creationId xmlns:a16="http://schemas.microsoft.com/office/drawing/2014/main" id="{6030CFF2-7AC1-4B6A-80E2-F28ABEC6FB96}"/>
            </a:ext>
          </a:extLst>
        </xdr:cNvPr>
        <xdr:cNvSpPr txBox="1"/>
      </xdr:nvSpPr>
      <xdr:spPr>
        <a:xfrm>
          <a:off x="19628390" y="6094954"/>
          <a:ext cx="2477548" cy="1485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latin typeface="Aptos Display" panose="020B0004020202020204" pitchFamily="34" charset="0"/>
            </a:rPr>
            <a:t>Full Time Employees</a:t>
          </a:r>
        </a:p>
      </xdr:txBody>
    </xdr:sp>
    <xdr:clientData/>
  </xdr:twoCellAnchor>
  <xdr:twoCellAnchor>
    <xdr:from>
      <xdr:col>43</xdr:col>
      <xdr:colOff>91230</xdr:colOff>
      <xdr:row>30</xdr:row>
      <xdr:rowOff>123320</xdr:rowOff>
    </xdr:from>
    <xdr:to>
      <xdr:col>48</xdr:col>
      <xdr:colOff>396875</xdr:colOff>
      <xdr:row>39</xdr:row>
      <xdr:rowOff>71437</xdr:rowOff>
    </xdr:to>
    <xdr:sp macro="" textlink="">
      <xdr:nvSpPr>
        <xdr:cNvPr id="40" name="TextBox 39">
          <a:extLst>
            <a:ext uri="{FF2B5EF4-FFF2-40B4-BE49-F238E27FC236}">
              <a16:creationId xmlns:a16="http://schemas.microsoft.com/office/drawing/2014/main" id="{C1C455E2-190A-491D-81CE-B3B01F3BA0C4}"/>
            </a:ext>
          </a:extLst>
        </xdr:cNvPr>
        <xdr:cNvSpPr txBox="1"/>
      </xdr:nvSpPr>
      <xdr:spPr>
        <a:xfrm>
          <a:off x="26030980" y="5838320"/>
          <a:ext cx="3321895" cy="1662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latin typeface="Aptos Display" panose="020B0004020202020204" pitchFamily="34" charset="0"/>
            </a:rPr>
            <a:t>Part-Time Employees</a:t>
          </a:r>
        </a:p>
      </xdr:txBody>
    </xdr:sp>
    <xdr:clientData/>
  </xdr:twoCellAnchor>
  <xdr:twoCellAnchor>
    <xdr:from>
      <xdr:col>53</xdr:col>
      <xdr:colOff>90284</xdr:colOff>
      <xdr:row>31</xdr:row>
      <xdr:rowOff>22734</xdr:rowOff>
    </xdr:from>
    <xdr:to>
      <xdr:col>58</xdr:col>
      <xdr:colOff>198437</xdr:colOff>
      <xdr:row>37</xdr:row>
      <xdr:rowOff>79375</xdr:rowOff>
    </xdr:to>
    <xdr:sp macro="" textlink="">
      <xdr:nvSpPr>
        <xdr:cNvPr id="41" name="TextBox 40">
          <a:extLst>
            <a:ext uri="{FF2B5EF4-FFF2-40B4-BE49-F238E27FC236}">
              <a16:creationId xmlns:a16="http://schemas.microsoft.com/office/drawing/2014/main" id="{7A511D63-6EF8-4B0E-8A61-2F030AA447E8}"/>
            </a:ext>
          </a:extLst>
        </xdr:cNvPr>
        <xdr:cNvSpPr txBox="1"/>
      </xdr:nvSpPr>
      <xdr:spPr>
        <a:xfrm>
          <a:off x="31641847" y="6174297"/>
          <a:ext cx="3084715" cy="1247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latin typeface="Aptos Display" panose="020B0004020202020204" pitchFamily="34" charset="0"/>
            </a:rPr>
            <a:t>Contract Employees</a:t>
          </a:r>
        </a:p>
      </xdr:txBody>
    </xdr:sp>
    <xdr:clientData/>
  </xdr:twoCellAnchor>
  <xdr:twoCellAnchor editAs="oneCell">
    <xdr:from>
      <xdr:col>37</xdr:col>
      <xdr:colOff>468313</xdr:colOff>
      <xdr:row>30</xdr:row>
      <xdr:rowOff>87313</xdr:rowOff>
    </xdr:from>
    <xdr:to>
      <xdr:col>42</xdr:col>
      <xdr:colOff>182563</xdr:colOff>
      <xdr:row>43</xdr:row>
      <xdr:rowOff>160427</xdr:rowOff>
    </xdr:to>
    <xdr:pic>
      <xdr:nvPicPr>
        <xdr:cNvPr id="13" name="Picture 12">
          <a:extLst>
            <a:ext uri="{FF2B5EF4-FFF2-40B4-BE49-F238E27FC236}">
              <a16:creationId xmlns:a16="http://schemas.microsoft.com/office/drawing/2014/main" id="{2FE4F70B-993C-3BF1-3D0A-66AA35A75702}"/>
            </a:ext>
          </a:extLst>
        </xdr:cNvPr>
        <xdr:cNvPicPr>
          <a:picLocks noChangeAspect="1"/>
        </xdr:cNvPicPr>
      </xdr:nvPicPr>
      <xdr:blipFill rotWithShape="1">
        <a:blip xmlns:r="http://schemas.openxmlformats.org/officeDocument/2006/relationships" r:embed="rId1"/>
        <a:srcRect l="3991" t="30100" r="67120" b="30000"/>
        <a:stretch>
          <a:fillRect/>
        </a:stretch>
      </xdr:blipFill>
      <xdr:spPr>
        <a:xfrm>
          <a:off x="22788563" y="5802313"/>
          <a:ext cx="2730500" cy="2549614"/>
        </a:xfrm>
        <a:prstGeom prst="rect">
          <a:avLst/>
        </a:prstGeom>
      </xdr:spPr>
    </xdr:pic>
    <xdr:clientData/>
  </xdr:twoCellAnchor>
  <xdr:twoCellAnchor editAs="oneCell">
    <xdr:from>
      <xdr:col>48</xdr:col>
      <xdr:colOff>15874</xdr:colOff>
      <xdr:row>30</xdr:row>
      <xdr:rowOff>55563</xdr:rowOff>
    </xdr:from>
    <xdr:to>
      <xdr:col>52</xdr:col>
      <xdr:colOff>377783</xdr:colOff>
      <xdr:row>43</xdr:row>
      <xdr:rowOff>166688</xdr:rowOff>
    </xdr:to>
    <xdr:pic>
      <xdr:nvPicPr>
        <xdr:cNvPr id="14" name="Picture 13">
          <a:extLst>
            <a:ext uri="{FF2B5EF4-FFF2-40B4-BE49-F238E27FC236}">
              <a16:creationId xmlns:a16="http://schemas.microsoft.com/office/drawing/2014/main" id="{633A0E43-EEFF-0DC1-C1E2-D882C40677AD}"/>
            </a:ext>
          </a:extLst>
        </xdr:cNvPr>
        <xdr:cNvPicPr>
          <a:picLocks noChangeAspect="1"/>
        </xdr:cNvPicPr>
      </xdr:nvPicPr>
      <xdr:blipFill rotWithShape="1">
        <a:blip xmlns:r="http://schemas.openxmlformats.org/officeDocument/2006/relationships" r:embed="rId1"/>
        <a:srcRect l="34915" t="28390" r="34568" b="29430"/>
        <a:stretch>
          <a:fillRect/>
        </a:stretch>
      </xdr:blipFill>
      <xdr:spPr>
        <a:xfrm>
          <a:off x="28971874" y="5770563"/>
          <a:ext cx="2774909" cy="2587625"/>
        </a:xfrm>
        <a:prstGeom prst="rect">
          <a:avLst/>
        </a:prstGeom>
      </xdr:spPr>
    </xdr:pic>
    <xdr:clientData/>
  </xdr:twoCellAnchor>
  <xdr:twoCellAnchor editAs="oneCell">
    <xdr:from>
      <xdr:col>58</xdr:col>
      <xdr:colOff>238125</xdr:colOff>
      <xdr:row>30</xdr:row>
      <xdr:rowOff>182562</xdr:rowOff>
    </xdr:from>
    <xdr:to>
      <xdr:col>63</xdr:col>
      <xdr:colOff>97479</xdr:colOff>
      <xdr:row>44</xdr:row>
      <xdr:rowOff>31750</xdr:rowOff>
    </xdr:to>
    <xdr:pic>
      <xdr:nvPicPr>
        <xdr:cNvPr id="15" name="Picture 14">
          <a:extLst>
            <a:ext uri="{FF2B5EF4-FFF2-40B4-BE49-F238E27FC236}">
              <a16:creationId xmlns:a16="http://schemas.microsoft.com/office/drawing/2014/main" id="{8BF68C0A-E4B1-FA40-1964-1E63BBBEFA95}"/>
            </a:ext>
          </a:extLst>
        </xdr:cNvPr>
        <xdr:cNvPicPr>
          <a:picLocks noChangeAspect="1"/>
        </xdr:cNvPicPr>
      </xdr:nvPicPr>
      <xdr:blipFill rotWithShape="1">
        <a:blip xmlns:r="http://schemas.openxmlformats.org/officeDocument/2006/relationships" r:embed="rId1"/>
        <a:srcRect l="69094" t="32380" r="3643" b="32280"/>
        <a:stretch>
          <a:fillRect/>
        </a:stretch>
      </xdr:blipFill>
      <xdr:spPr>
        <a:xfrm>
          <a:off x="35226625" y="5897562"/>
          <a:ext cx="2875604" cy="2516188"/>
        </a:xfrm>
        <a:prstGeom prst="rect">
          <a:avLst/>
        </a:prstGeom>
      </xdr:spPr>
    </xdr:pic>
    <xdr:clientData/>
  </xdr:twoCellAnchor>
  <xdr:twoCellAnchor editAs="oneCell">
    <xdr:from>
      <xdr:col>16</xdr:col>
      <xdr:colOff>270657</xdr:colOff>
      <xdr:row>30</xdr:row>
      <xdr:rowOff>117762</xdr:rowOff>
    </xdr:from>
    <xdr:to>
      <xdr:col>21</xdr:col>
      <xdr:colOff>350031</xdr:colOff>
      <xdr:row>44</xdr:row>
      <xdr:rowOff>78075</xdr:rowOff>
    </xdr:to>
    <xdr:pic>
      <xdr:nvPicPr>
        <xdr:cNvPr id="16" name="Picture 15">
          <a:extLst>
            <a:ext uri="{FF2B5EF4-FFF2-40B4-BE49-F238E27FC236}">
              <a16:creationId xmlns:a16="http://schemas.microsoft.com/office/drawing/2014/main" id="{F0D2C7C5-B020-969B-261E-694745AB125F}"/>
            </a:ext>
          </a:extLst>
        </xdr:cNvPr>
        <xdr:cNvPicPr>
          <a:picLocks noChangeAspect="1"/>
        </xdr:cNvPicPr>
      </xdr:nvPicPr>
      <xdr:blipFill rotWithShape="1">
        <a:blip xmlns:r="http://schemas.openxmlformats.org/officeDocument/2006/relationships" r:embed="rId2"/>
        <a:srcRect l="10061" t="10036" r="58608" b="52382"/>
        <a:stretch>
          <a:fillRect/>
        </a:stretch>
      </xdr:blipFill>
      <xdr:spPr>
        <a:xfrm>
          <a:off x="9795657" y="5475575"/>
          <a:ext cx="3055937" cy="2460625"/>
        </a:xfrm>
        <a:prstGeom prst="rect">
          <a:avLst/>
        </a:prstGeom>
      </xdr:spPr>
    </xdr:pic>
    <xdr:clientData/>
  </xdr:twoCellAnchor>
  <xdr:twoCellAnchor editAs="oneCell">
    <xdr:from>
      <xdr:col>27</xdr:col>
      <xdr:colOff>253999</xdr:colOff>
      <xdr:row>30</xdr:row>
      <xdr:rowOff>71436</xdr:rowOff>
    </xdr:from>
    <xdr:to>
      <xdr:col>31</xdr:col>
      <xdr:colOff>583307</xdr:colOff>
      <xdr:row>44</xdr:row>
      <xdr:rowOff>0</xdr:rowOff>
    </xdr:to>
    <xdr:pic>
      <xdr:nvPicPr>
        <xdr:cNvPr id="24" name="Picture 23">
          <a:extLst>
            <a:ext uri="{FF2B5EF4-FFF2-40B4-BE49-F238E27FC236}">
              <a16:creationId xmlns:a16="http://schemas.microsoft.com/office/drawing/2014/main" id="{C2C3445C-9532-21CF-6126-EE65C5B6DE31}"/>
            </a:ext>
          </a:extLst>
        </xdr:cNvPr>
        <xdr:cNvPicPr>
          <a:picLocks noChangeAspect="1"/>
        </xdr:cNvPicPr>
      </xdr:nvPicPr>
      <xdr:blipFill rotWithShape="1">
        <a:blip xmlns:r="http://schemas.openxmlformats.org/officeDocument/2006/relationships" r:embed="rId2"/>
        <a:srcRect l="59355" t="5980" r="9314" b="52081"/>
        <a:stretch>
          <a:fillRect/>
        </a:stretch>
      </xdr:blipFill>
      <xdr:spPr>
        <a:xfrm>
          <a:off x="16541749" y="5786436"/>
          <a:ext cx="2742308" cy="2595564"/>
        </a:xfrm>
        <a:prstGeom prst="rect">
          <a:avLst/>
        </a:prstGeom>
      </xdr:spPr>
    </xdr:pic>
    <xdr:clientData/>
  </xdr:twoCellAnchor>
  <xdr:twoCellAnchor editAs="oneCell">
    <xdr:from>
      <xdr:col>10</xdr:col>
      <xdr:colOff>563561</xdr:colOff>
      <xdr:row>12</xdr:row>
      <xdr:rowOff>47626</xdr:rowOff>
    </xdr:from>
    <xdr:to>
      <xdr:col>16</xdr:col>
      <xdr:colOff>44159</xdr:colOff>
      <xdr:row>26</xdr:row>
      <xdr:rowOff>158751</xdr:rowOff>
    </xdr:to>
    <xdr:pic>
      <xdr:nvPicPr>
        <xdr:cNvPr id="25" name="Picture 24">
          <a:extLst>
            <a:ext uri="{FF2B5EF4-FFF2-40B4-BE49-F238E27FC236}">
              <a16:creationId xmlns:a16="http://schemas.microsoft.com/office/drawing/2014/main" id="{46D0557F-F4DE-36E3-F510-0FBB677CE790}"/>
            </a:ext>
          </a:extLst>
        </xdr:cNvPr>
        <xdr:cNvPicPr>
          <a:picLocks noChangeAspect="1"/>
        </xdr:cNvPicPr>
      </xdr:nvPicPr>
      <xdr:blipFill rotWithShape="1">
        <a:blip xmlns:r="http://schemas.openxmlformats.org/officeDocument/2006/relationships" r:embed="rId3"/>
        <a:srcRect l="11822" t="8346" r="57660" b="52983"/>
        <a:stretch>
          <a:fillRect/>
        </a:stretch>
      </xdr:blipFill>
      <xdr:spPr>
        <a:xfrm>
          <a:off x="6596061" y="2333626"/>
          <a:ext cx="3100098" cy="2778125"/>
        </a:xfrm>
        <a:prstGeom prst="rect">
          <a:avLst/>
        </a:prstGeom>
      </xdr:spPr>
    </xdr:pic>
    <xdr:clientData/>
  </xdr:twoCellAnchor>
  <xdr:twoCellAnchor>
    <xdr:from>
      <xdr:col>12</xdr:col>
      <xdr:colOff>303187</xdr:colOff>
      <xdr:row>35</xdr:row>
      <xdr:rowOff>78073</xdr:rowOff>
    </xdr:from>
    <xdr:to>
      <xdr:col>16</xdr:col>
      <xdr:colOff>62459</xdr:colOff>
      <xdr:row>42</xdr:row>
      <xdr:rowOff>156147</xdr:rowOff>
    </xdr:to>
    <xdr:sp macro="" textlink="Pivot!D13">
      <xdr:nvSpPr>
        <xdr:cNvPr id="27" name="TextBox 26">
          <a:extLst>
            <a:ext uri="{FF2B5EF4-FFF2-40B4-BE49-F238E27FC236}">
              <a16:creationId xmlns:a16="http://schemas.microsoft.com/office/drawing/2014/main" id="{3DD39D29-6801-A9C6-5211-DE61228B20C5}"/>
            </a:ext>
          </a:extLst>
        </xdr:cNvPr>
        <xdr:cNvSpPr txBox="1"/>
      </xdr:nvSpPr>
      <xdr:spPr>
        <a:xfrm>
          <a:off x="7610892" y="6636270"/>
          <a:ext cx="2195174" cy="1389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FEB890-DAC5-4EB2-826E-252C15A87176}" type="TxLink">
            <a:rPr lang="en-US" sz="10000" b="1" i="0" u="none" strike="noStrike">
              <a:solidFill>
                <a:srgbClr val="FFFF00"/>
              </a:solidFill>
              <a:latin typeface="Aptos Narrow"/>
            </a:rPr>
            <a:pPr/>
            <a:t>100</a:t>
          </a:fld>
          <a:endParaRPr lang="en-US" sz="10000" b="1">
            <a:solidFill>
              <a:srgbClr val="FFFF00"/>
            </a:solidFill>
          </a:endParaRPr>
        </a:p>
      </xdr:txBody>
    </xdr:sp>
    <xdr:clientData/>
  </xdr:twoCellAnchor>
  <xdr:twoCellAnchor>
    <xdr:from>
      <xdr:col>23</xdr:col>
      <xdr:colOff>221297</xdr:colOff>
      <xdr:row>34</xdr:row>
      <xdr:rowOff>172802</xdr:rowOff>
    </xdr:from>
    <xdr:to>
      <xdr:col>26</xdr:col>
      <xdr:colOff>340357</xdr:colOff>
      <xdr:row>43</xdr:row>
      <xdr:rowOff>78073</xdr:rowOff>
    </xdr:to>
    <xdr:sp macro="" textlink="Pivot!D14">
      <xdr:nvSpPr>
        <xdr:cNvPr id="28" name="TextBox 27">
          <a:extLst>
            <a:ext uri="{FF2B5EF4-FFF2-40B4-BE49-F238E27FC236}">
              <a16:creationId xmlns:a16="http://schemas.microsoft.com/office/drawing/2014/main" id="{72111BC1-6BFB-4102-AD85-1121E06A294F}"/>
            </a:ext>
          </a:extLst>
        </xdr:cNvPr>
        <xdr:cNvSpPr txBox="1"/>
      </xdr:nvSpPr>
      <xdr:spPr>
        <a:xfrm>
          <a:off x="14227731" y="6543622"/>
          <a:ext cx="1945987" cy="159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DEF38DD-EA28-4798-8031-FAFDFDC85553}" type="TxLink">
            <a:rPr lang="en-US" sz="10000" b="1" i="0" u="none" strike="noStrike">
              <a:solidFill>
                <a:schemeClr val="bg1"/>
              </a:solidFill>
              <a:latin typeface="Aptos Narrow"/>
            </a:rPr>
            <a:pPr algn="ctr"/>
            <a:t>2.9</a:t>
          </a:fld>
          <a:endParaRPr lang="en-US" sz="10000" b="1">
            <a:solidFill>
              <a:schemeClr val="bg1"/>
            </a:solidFill>
          </a:endParaRPr>
        </a:p>
      </xdr:txBody>
    </xdr:sp>
    <xdr:clientData/>
  </xdr:twoCellAnchor>
  <xdr:twoCellAnchor>
    <xdr:from>
      <xdr:col>33</xdr:col>
      <xdr:colOff>145648</xdr:colOff>
      <xdr:row>35</xdr:row>
      <xdr:rowOff>163851</xdr:rowOff>
    </xdr:from>
    <xdr:to>
      <xdr:col>36</xdr:col>
      <xdr:colOff>466110</xdr:colOff>
      <xdr:row>44</xdr:row>
      <xdr:rowOff>124918</xdr:rowOff>
    </xdr:to>
    <xdr:sp macro="" textlink="Pivot!$D$16">
      <xdr:nvSpPr>
        <xdr:cNvPr id="36" name="TextBox 35">
          <a:extLst>
            <a:ext uri="{FF2B5EF4-FFF2-40B4-BE49-F238E27FC236}">
              <a16:creationId xmlns:a16="http://schemas.microsoft.com/office/drawing/2014/main" id="{01800E3F-1083-4E36-96D6-234ADE4C6F97}"/>
            </a:ext>
          </a:extLst>
        </xdr:cNvPr>
        <xdr:cNvSpPr txBox="1"/>
      </xdr:nvSpPr>
      <xdr:spPr>
        <a:xfrm>
          <a:off x="20241837" y="6722048"/>
          <a:ext cx="2147388" cy="1647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D54CB82-F1A3-4E2E-9BFD-3B81FC5BEF12}" type="TxLink">
            <a:rPr lang="en-US" sz="10000" b="1" i="0" u="none" strike="noStrike">
              <a:solidFill>
                <a:schemeClr val="bg1"/>
              </a:solidFill>
              <a:latin typeface="Aptos Narrow"/>
            </a:rPr>
            <a:pPr algn="ctr"/>
            <a:t>41</a:t>
          </a:fld>
          <a:endParaRPr lang="en-US" sz="10000" b="1">
            <a:solidFill>
              <a:schemeClr val="bg1"/>
            </a:solidFill>
          </a:endParaRPr>
        </a:p>
      </xdr:txBody>
    </xdr:sp>
    <xdr:clientData/>
  </xdr:twoCellAnchor>
  <xdr:twoCellAnchor>
    <xdr:from>
      <xdr:col>44</xdr:col>
      <xdr:colOff>181184</xdr:colOff>
      <xdr:row>34</xdr:row>
      <xdr:rowOff>84979</xdr:rowOff>
    </xdr:from>
    <xdr:to>
      <xdr:col>47</xdr:col>
      <xdr:colOff>305103</xdr:colOff>
      <xdr:row>43</xdr:row>
      <xdr:rowOff>125438</xdr:rowOff>
    </xdr:to>
    <xdr:sp macro="" textlink="Pivot!D15">
      <xdr:nvSpPr>
        <xdr:cNvPr id="37" name="TextBox 36">
          <a:extLst>
            <a:ext uri="{FF2B5EF4-FFF2-40B4-BE49-F238E27FC236}">
              <a16:creationId xmlns:a16="http://schemas.microsoft.com/office/drawing/2014/main" id="{9CDF2461-0547-4FAA-9D9B-4C9B93A54574}"/>
            </a:ext>
          </a:extLst>
        </xdr:cNvPr>
        <xdr:cNvSpPr txBox="1"/>
      </xdr:nvSpPr>
      <xdr:spPr>
        <a:xfrm>
          <a:off x="27299419" y="5799979"/>
          <a:ext cx="1972890" cy="1553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F2DD0C9-70A2-49DC-8D11-61276F7BF0FE}" type="TxLink">
            <a:rPr lang="en-US" sz="10000" b="1" i="0" u="none" strike="noStrike">
              <a:solidFill>
                <a:schemeClr val="bg1"/>
              </a:solidFill>
              <a:latin typeface="Aptos Narrow"/>
            </a:rPr>
            <a:pPr algn="ctr"/>
            <a:t>28</a:t>
          </a:fld>
          <a:endParaRPr lang="en-US" sz="10000" b="1">
            <a:solidFill>
              <a:schemeClr val="bg1"/>
            </a:solidFill>
          </a:endParaRPr>
        </a:p>
      </xdr:txBody>
    </xdr:sp>
    <xdr:clientData/>
  </xdr:twoCellAnchor>
  <xdr:twoCellAnchor>
    <xdr:from>
      <xdr:col>54</xdr:col>
      <xdr:colOff>79042</xdr:colOff>
      <xdr:row>35</xdr:row>
      <xdr:rowOff>175525</xdr:rowOff>
    </xdr:from>
    <xdr:to>
      <xdr:col>57</xdr:col>
      <xdr:colOff>198104</xdr:colOff>
      <xdr:row>44</xdr:row>
      <xdr:rowOff>124919</xdr:rowOff>
    </xdr:to>
    <xdr:sp macro="" textlink="Pivot!D17">
      <xdr:nvSpPr>
        <xdr:cNvPr id="44" name="TextBox 43">
          <a:extLst>
            <a:ext uri="{FF2B5EF4-FFF2-40B4-BE49-F238E27FC236}">
              <a16:creationId xmlns:a16="http://schemas.microsoft.com/office/drawing/2014/main" id="{511C8191-4133-4167-B886-FAA6C6371E1B}"/>
            </a:ext>
          </a:extLst>
        </xdr:cNvPr>
        <xdr:cNvSpPr txBox="1"/>
      </xdr:nvSpPr>
      <xdr:spPr>
        <a:xfrm>
          <a:off x="32963714" y="6733722"/>
          <a:ext cx="1945988" cy="1635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75460FD-8DD3-4A1E-9B92-9529526F2D85}" type="TxLink">
            <a:rPr lang="en-US" sz="10000" b="1" i="0" u="none" strike="noStrike">
              <a:solidFill>
                <a:schemeClr val="bg1"/>
              </a:solidFill>
              <a:latin typeface="Aptos Narrow"/>
            </a:rPr>
            <a:pPr algn="ctr"/>
            <a:t>31</a:t>
          </a:fld>
          <a:endParaRPr lang="en-US" sz="10000" b="1">
            <a:solidFill>
              <a:schemeClr val="bg1"/>
            </a:solidFill>
          </a:endParaRPr>
        </a:p>
      </xdr:txBody>
    </xdr:sp>
    <xdr:clientData/>
  </xdr:twoCellAnchor>
  <xdr:twoCellAnchor>
    <xdr:from>
      <xdr:col>23</xdr:col>
      <xdr:colOff>206261</xdr:colOff>
      <xdr:row>41</xdr:row>
      <xdr:rowOff>145341</xdr:rowOff>
    </xdr:from>
    <xdr:to>
      <xdr:col>26</xdr:col>
      <xdr:colOff>325322</xdr:colOff>
      <xdr:row>44</xdr:row>
      <xdr:rowOff>156147</xdr:rowOff>
    </xdr:to>
    <xdr:sp macro="" textlink="">
      <xdr:nvSpPr>
        <xdr:cNvPr id="46" name="TextBox 45">
          <a:extLst>
            <a:ext uri="{FF2B5EF4-FFF2-40B4-BE49-F238E27FC236}">
              <a16:creationId xmlns:a16="http://schemas.microsoft.com/office/drawing/2014/main" id="{086D9E00-DED8-49E5-BD2B-3B945B748E55}"/>
            </a:ext>
          </a:extLst>
        </xdr:cNvPr>
        <xdr:cNvSpPr txBox="1"/>
      </xdr:nvSpPr>
      <xdr:spPr>
        <a:xfrm>
          <a:off x="14212695" y="7827800"/>
          <a:ext cx="1945988" cy="572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latin typeface="Aptos Narrow"/>
            </a:rPr>
            <a:t>Average Rating</a:t>
          </a:r>
        </a:p>
      </xdr:txBody>
    </xdr:sp>
    <xdr:clientData/>
  </xdr:twoCellAnchor>
  <xdr:twoCellAnchor editAs="oneCell">
    <xdr:from>
      <xdr:col>11</xdr:col>
      <xdr:colOff>285750</xdr:colOff>
      <xdr:row>47</xdr:row>
      <xdr:rowOff>95250</xdr:rowOff>
    </xdr:from>
    <xdr:to>
      <xdr:col>13</xdr:col>
      <xdr:colOff>349250</xdr:colOff>
      <xdr:row>54</xdr:row>
      <xdr:rowOff>31750</xdr:rowOff>
    </xdr:to>
    <xdr:pic>
      <xdr:nvPicPr>
        <xdr:cNvPr id="45" name="Graphic 44" descr="Head with gears with solid fill">
          <a:extLst>
            <a:ext uri="{FF2B5EF4-FFF2-40B4-BE49-F238E27FC236}">
              <a16:creationId xmlns:a16="http://schemas.microsoft.com/office/drawing/2014/main" id="{A46C0A54-8BEC-3463-DCB4-2A87AD19D87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921500" y="9048750"/>
          <a:ext cx="1270000" cy="1270000"/>
        </a:xfrm>
        <a:prstGeom prst="rect">
          <a:avLst/>
        </a:prstGeom>
      </xdr:spPr>
    </xdr:pic>
    <xdr:clientData/>
  </xdr:twoCellAnchor>
  <xdr:twoCellAnchor>
    <xdr:from>
      <xdr:col>14</xdr:col>
      <xdr:colOff>158750</xdr:colOff>
      <xdr:row>47</xdr:row>
      <xdr:rowOff>31750</xdr:rowOff>
    </xdr:from>
    <xdr:to>
      <xdr:col>20</xdr:col>
      <xdr:colOff>349250</xdr:colOff>
      <xdr:row>51</xdr:row>
      <xdr:rowOff>95250</xdr:rowOff>
    </xdr:to>
    <xdr:sp macro="" textlink="">
      <xdr:nvSpPr>
        <xdr:cNvPr id="51" name="TextBox 50">
          <a:extLst>
            <a:ext uri="{FF2B5EF4-FFF2-40B4-BE49-F238E27FC236}">
              <a16:creationId xmlns:a16="http://schemas.microsoft.com/office/drawing/2014/main" id="{61B2A586-7474-46A2-64A2-55C618152481}"/>
            </a:ext>
          </a:extLst>
        </xdr:cNvPr>
        <xdr:cNvSpPr txBox="1"/>
      </xdr:nvSpPr>
      <xdr:spPr>
        <a:xfrm>
          <a:off x="8604250" y="8985250"/>
          <a:ext cx="3810000" cy="82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Skills Breakdown</a:t>
          </a:r>
        </a:p>
      </xdr:txBody>
    </xdr:sp>
    <xdr:clientData/>
  </xdr:twoCellAnchor>
  <xdr:twoCellAnchor>
    <xdr:from>
      <xdr:col>11</xdr:col>
      <xdr:colOff>11471</xdr:colOff>
      <xdr:row>51</xdr:row>
      <xdr:rowOff>75198</xdr:rowOff>
    </xdr:from>
    <xdr:to>
      <xdr:col>20</xdr:col>
      <xdr:colOff>275723</xdr:colOff>
      <xdr:row>78</xdr:row>
      <xdr:rowOff>139774</xdr:rowOff>
    </xdr:to>
    <xdr:graphicFrame macro="">
      <xdr:nvGraphicFramePr>
        <xdr:cNvPr id="53" name="Chart 52">
          <a:extLst>
            <a:ext uri="{FF2B5EF4-FFF2-40B4-BE49-F238E27FC236}">
              <a16:creationId xmlns:a16="http://schemas.microsoft.com/office/drawing/2014/main" id="{AFDF3BB5-7835-45BD-9E88-4F9DA321C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152400</xdr:colOff>
      <xdr:row>47</xdr:row>
      <xdr:rowOff>152400</xdr:rowOff>
    </xdr:from>
    <xdr:to>
      <xdr:col>30</xdr:col>
      <xdr:colOff>342900</xdr:colOff>
      <xdr:row>52</xdr:row>
      <xdr:rowOff>25400</xdr:rowOff>
    </xdr:to>
    <xdr:sp macro="" textlink="">
      <xdr:nvSpPr>
        <xdr:cNvPr id="54" name="TextBox 53">
          <a:extLst>
            <a:ext uri="{FF2B5EF4-FFF2-40B4-BE49-F238E27FC236}">
              <a16:creationId xmlns:a16="http://schemas.microsoft.com/office/drawing/2014/main" id="{C0269A4A-D762-496C-B692-827CF266659E}"/>
            </a:ext>
          </a:extLst>
        </xdr:cNvPr>
        <xdr:cNvSpPr txBox="1"/>
      </xdr:nvSpPr>
      <xdr:spPr>
        <a:xfrm>
          <a:off x="14630400" y="9105900"/>
          <a:ext cx="3810000" cy="82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Gender Ratio</a:t>
          </a:r>
        </a:p>
      </xdr:txBody>
    </xdr:sp>
    <xdr:clientData/>
  </xdr:twoCellAnchor>
  <xdr:twoCellAnchor>
    <xdr:from>
      <xdr:col>31</xdr:col>
      <xdr:colOff>495300</xdr:colOff>
      <xdr:row>51</xdr:row>
      <xdr:rowOff>161551</xdr:rowOff>
    </xdr:from>
    <xdr:to>
      <xdr:col>38</xdr:col>
      <xdr:colOff>82550</xdr:colOff>
      <xdr:row>56</xdr:row>
      <xdr:rowOff>28948</xdr:rowOff>
    </xdr:to>
    <xdr:sp macro="" textlink="">
      <xdr:nvSpPr>
        <xdr:cNvPr id="55" name="TextBox 54">
          <a:extLst>
            <a:ext uri="{FF2B5EF4-FFF2-40B4-BE49-F238E27FC236}">
              <a16:creationId xmlns:a16="http://schemas.microsoft.com/office/drawing/2014/main" id="{C9A26665-A43D-469B-AAAA-3714AA99C8F8}"/>
            </a:ext>
          </a:extLst>
        </xdr:cNvPr>
        <xdr:cNvSpPr txBox="1"/>
      </xdr:nvSpPr>
      <xdr:spPr>
        <a:xfrm>
          <a:off x="19601329" y="10162801"/>
          <a:ext cx="3901515" cy="847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Female</a:t>
          </a:r>
        </a:p>
      </xdr:txBody>
    </xdr:sp>
    <xdr:clientData/>
  </xdr:twoCellAnchor>
  <xdr:twoCellAnchor>
    <xdr:from>
      <xdr:col>24</xdr:col>
      <xdr:colOff>393700</xdr:colOff>
      <xdr:row>51</xdr:row>
      <xdr:rowOff>161551</xdr:rowOff>
    </xdr:from>
    <xdr:to>
      <xdr:col>30</xdr:col>
      <xdr:colOff>584200</xdr:colOff>
      <xdr:row>56</xdr:row>
      <xdr:rowOff>28948</xdr:rowOff>
    </xdr:to>
    <xdr:sp macro="" textlink="">
      <xdr:nvSpPr>
        <xdr:cNvPr id="56" name="TextBox 55">
          <a:extLst>
            <a:ext uri="{FF2B5EF4-FFF2-40B4-BE49-F238E27FC236}">
              <a16:creationId xmlns:a16="http://schemas.microsoft.com/office/drawing/2014/main" id="{D4C66792-F662-4959-A3BB-8908A7E5425A}"/>
            </a:ext>
          </a:extLst>
        </xdr:cNvPr>
        <xdr:cNvSpPr txBox="1"/>
      </xdr:nvSpPr>
      <xdr:spPr>
        <a:xfrm>
          <a:off x="15185465" y="10162801"/>
          <a:ext cx="3888441" cy="847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Male</a:t>
          </a:r>
        </a:p>
      </xdr:txBody>
    </xdr:sp>
    <xdr:clientData/>
  </xdr:twoCellAnchor>
  <xdr:twoCellAnchor>
    <xdr:from>
      <xdr:col>23</xdr:col>
      <xdr:colOff>508000</xdr:colOff>
      <xdr:row>48</xdr:row>
      <xdr:rowOff>158750</xdr:rowOff>
    </xdr:from>
    <xdr:to>
      <xdr:col>24</xdr:col>
      <xdr:colOff>158750</xdr:colOff>
      <xdr:row>50</xdr:row>
      <xdr:rowOff>63500</xdr:rowOff>
    </xdr:to>
    <xdr:sp macro="" textlink="">
      <xdr:nvSpPr>
        <xdr:cNvPr id="57" name="Oval 56">
          <a:extLst>
            <a:ext uri="{FF2B5EF4-FFF2-40B4-BE49-F238E27FC236}">
              <a16:creationId xmlns:a16="http://schemas.microsoft.com/office/drawing/2014/main" id="{CF30C856-0A1F-7709-8417-80BC885367FB}"/>
            </a:ext>
          </a:extLst>
        </xdr:cNvPr>
        <xdr:cNvSpPr/>
      </xdr:nvSpPr>
      <xdr:spPr>
        <a:xfrm>
          <a:off x="14382750" y="9302750"/>
          <a:ext cx="254000" cy="285750"/>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88730</xdr:colOff>
      <xdr:row>56</xdr:row>
      <xdr:rowOff>35338</xdr:rowOff>
    </xdr:from>
    <xdr:to>
      <xdr:col>36</xdr:col>
      <xdr:colOff>437980</xdr:colOff>
      <xdr:row>80</xdr:row>
      <xdr:rowOff>35338</xdr:rowOff>
    </xdr:to>
    <xdr:graphicFrame macro="">
      <xdr:nvGraphicFramePr>
        <xdr:cNvPr id="60" name="Chart 59">
          <a:extLst>
            <a:ext uri="{FF2B5EF4-FFF2-40B4-BE49-F238E27FC236}">
              <a16:creationId xmlns:a16="http://schemas.microsoft.com/office/drawing/2014/main" id="{F78E1C42-289F-45CF-9EE7-57B96C2145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168006</xdr:colOff>
      <xdr:row>53</xdr:row>
      <xdr:rowOff>23247</xdr:rowOff>
    </xdr:from>
    <xdr:to>
      <xdr:col>24</xdr:col>
      <xdr:colOff>422006</xdr:colOff>
      <xdr:row>54</xdr:row>
      <xdr:rowOff>121726</xdr:rowOff>
    </xdr:to>
    <xdr:sp macro="" textlink="">
      <xdr:nvSpPr>
        <xdr:cNvPr id="61" name="Oval 60">
          <a:extLst>
            <a:ext uri="{FF2B5EF4-FFF2-40B4-BE49-F238E27FC236}">
              <a16:creationId xmlns:a16="http://schemas.microsoft.com/office/drawing/2014/main" id="{2F68B64F-1655-4D8E-9804-96D4F35B4152}"/>
            </a:ext>
          </a:extLst>
        </xdr:cNvPr>
        <xdr:cNvSpPr/>
      </xdr:nvSpPr>
      <xdr:spPr>
        <a:xfrm>
          <a:off x="14891396" y="10290874"/>
          <a:ext cx="254000" cy="29220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31</xdr:col>
      <xdr:colOff>381000</xdr:colOff>
      <xdr:row>61</xdr:row>
      <xdr:rowOff>95250</xdr:rowOff>
    </xdr:from>
    <xdr:to>
      <xdr:col>34</xdr:col>
      <xdr:colOff>158750</xdr:colOff>
      <xdr:row>69</xdr:row>
      <xdr:rowOff>158750</xdr:rowOff>
    </xdr:to>
    <xdr:pic>
      <xdr:nvPicPr>
        <xdr:cNvPr id="63" name="Graphic 62" descr="Female Profile with solid fill">
          <a:extLst>
            <a:ext uri="{FF2B5EF4-FFF2-40B4-BE49-F238E27FC236}">
              <a16:creationId xmlns:a16="http://schemas.microsoft.com/office/drawing/2014/main" id="{410240C6-2E49-B0D8-C51F-59EEC9D9DF6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9081750" y="11715750"/>
          <a:ext cx="1587500" cy="1587500"/>
        </a:xfrm>
        <a:prstGeom prst="rect">
          <a:avLst/>
        </a:prstGeom>
      </xdr:spPr>
    </xdr:pic>
    <xdr:clientData/>
  </xdr:twoCellAnchor>
  <xdr:twoCellAnchor>
    <xdr:from>
      <xdr:col>21</xdr:col>
      <xdr:colOff>317500</xdr:colOff>
      <xdr:row>56</xdr:row>
      <xdr:rowOff>95250</xdr:rowOff>
    </xdr:from>
    <xdr:to>
      <xdr:col>29</xdr:col>
      <xdr:colOff>63500</xdr:colOff>
      <xdr:row>80</xdr:row>
      <xdr:rowOff>95250</xdr:rowOff>
    </xdr:to>
    <xdr:graphicFrame macro="">
      <xdr:nvGraphicFramePr>
        <xdr:cNvPr id="67" name="Chart 66">
          <a:extLst>
            <a:ext uri="{FF2B5EF4-FFF2-40B4-BE49-F238E27FC236}">
              <a16:creationId xmlns:a16="http://schemas.microsoft.com/office/drawing/2014/main" id="{5A3C2125-3855-4C05-BDF2-251D34629E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24</xdr:col>
      <xdr:colOff>31750</xdr:colOff>
      <xdr:row>61</xdr:row>
      <xdr:rowOff>95250</xdr:rowOff>
    </xdr:from>
    <xdr:to>
      <xdr:col>26</xdr:col>
      <xdr:colOff>416306</xdr:colOff>
      <xdr:row>69</xdr:row>
      <xdr:rowOff>162306</xdr:rowOff>
    </xdr:to>
    <xdr:pic>
      <xdr:nvPicPr>
        <xdr:cNvPr id="89" name="Graphic 88" descr="Male profile with solid fill">
          <a:extLst>
            <a:ext uri="{FF2B5EF4-FFF2-40B4-BE49-F238E27FC236}">
              <a16:creationId xmlns:a16="http://schemas.microsoft.com/office/drawing/2014/main" id="{5A627AD2-5C07-6A3A-236F-7ACD9290425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4509750" y="11715750"/>
          <a:ext cx="1591056" cy="1591056"/>
        </a:xfrm>
        <a:prstGeom prst="rect">
          <a:avLst/>
        </a:prstGeom>
      </xdr:spPr>
    </xdr:pic>
    <xdr:clientData/>
  </xdr:twoCellAnchor>
  <xdr:twoCellAnchor>
    <xdr:from>
      <xdr:col>23</xdr:col>
      <xdr:colOff>492334</xdr:colOff>
      <xdr:row>69</xdr:row>
      <xdr:rowOff>142129</xdr:rowOff>
    </xdr:from>
    <xdr:to>
      <xdr:col>27</xdr:col>
      <xdr:colOff>13003</xdr:colOff>
      <xdr:row>78</xdr:row>
      <xdr:rowOff>182588</xdr:rowOff>
    </xdr:to>
    <xdr:sp macro="" textlink="Pivot!P14">
      <xdr:nvSpPr>
        <xdr:cNvPr id="90" name="TextBox 89">
          <a:extLst>
            <a:ext uri="{FF2B5EF4-FFF2-40B4-BE49-F238E27FC236}">
              <a16:creationId xmlns:a16="http://schemas.microsoft.com/office/drawing/2014/main" id="{C160CCC9-4865-42A9-A130-6017E8EA8C07}"/>
            </a:ext>
          </a:extLst>
        </xdr:cNvPr>
        <xdr:cNvSpPr txBox="1"/>
      </xdr:nvSpPr>
      <xdr:spPr>
        <a:xfrm>
          <a:off x="14367084" y="13286629"/>
          <a:ext cx="1933669" cy="1754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BAD41DD-E817-4C35-999F-994AC2CB2CA3}" type="TxLink">
            <a:rPr lang="en-US" sz="4800" b="1" i="0" u="none" strike="noStrike">
              <a:solidFill>
                <a:schemeClr val="bg1"/>
              </a:solidFill>
              <a:latin typeface="Aptos Narrow"/>
            </a:rPr>
            <a:pPr algn="ctr"/>
            <a:t>51%</a:t>
          </a:fld>
          <a:endParaRPr lang="en-US" sz="4800" b="1">
            <a:solidFill>
              <a:schemeClr val="bg1"/>
            </a:solidFill>
          </a:endParaRPr>
        </a:p>
      </xdr:txBody>
    </xdr:sp>
    <xdr:clientData/>
  </xdr:twoCellAnchor>
  <xdr:twoCellAnchor>
    <xdr:from>
      <xdr:col>31</xdr:col>
      <xdr:colOff>200234</xdr:colOff>
      <xdr:row>69</xdr:row>
      <xdr:rowOff>135779</xdr:rowOff>
    </xdr:from>
    <xdr:to>
      <xdr:col>34</xdr:col>
      <xdr:colOff>324153</xdr:colOff>
      <xdr:row>78</xdr:row>
      <xdr:rowOff>176238</xdr:rowOff>
    </xdr:to>
    <xdr:sp macro="" textlink="Pivot!P15">
      <xdr:nvSpPr>
        <xdr:cNvPr id="91" name="TextBox 90">
          <a:extLst>
            <a:ext uri="{FF2B5EF4-FFF2-40B4-BE49-F238E27FC236}">
              <a16:creationId xmlns:a16="http://schemas.microsoft.com/office/drawing/2014/main" id="{51837C7C-F540-4C36-A112-0C906EB52689}"/>
            </a:ext>
          </a:extLst>
        </xdr:cNvPr>
        <xdr:cNvSpPr txBox="1"/>
      </xdr:nvSpPr>
      <xdr:spPr>
        <a:xfrm>
          <a:off x="18900984" y="13280279"/>
          <a:ext cx="1933669" cy="1754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8CBA7DB-8C71-4C83-906E-473C5923C209}" type="TxLink">
            <a:rPr lang="en-US" sz="4800" b="1" i="0" u="none" strike="noStrike">
              <a:solidFill>
                <a:schemeClr val="bg1"/>
              </a:solidFill>
              <a:latin typeface="Aptos Narrow"/>
            </a:rPr>
            <a:pPr algn="ctr"/>
            <a:t>49%</a:t>
          </a:fld>
          <a:endParaRPr lang="en-US" sz="4800" b="1">
            <a:solidFill>
              <a:schemeClr val="bg1"/>
            </a:solidFill>
          </a:endParaRPr>
        </a:p>
      </xdr:txBody>
    </xdr:sp>
    <xdr:clientData/>
  </xdr:twoCellAnchor>
  <xdr:twoCellAnchor>
    <xdr:from>
      <xdr:col>31</xdr:col>
      <xdr:colOff>258520</xdr:colOff>
      <xdr:row>52</xdr:row>
      <xdr:rowOff>131520</xdr:rowOff>
    </xdr:from>
    <xdr:to>
      <xdr:col>31</xdr:col>
      <xdr:colOff>512520</xdr:colOff>
      <xdr:row>54</xdr:row>
      <xdr:rowOff>33041</xdr:rowOff>
    </xdr:to>
    <xdr:sp macro="" textlink="">
      <xdr:nvSpPr>
        <xdr:cNvPr id="92" name="Oval 91">
          <a:extLst>
            <a:ext uri="{FF2B5EF4-FFF2-40B4-BE49-F238E27FC236}">
              <a16:creationId xmlns:a16="http://schemas.microsoft.com/office/drawing/2014/main" id="{2AAA591E-5EDC-47E6-93E1-A3C3DCDC4241}"/>
            </a:ext>
          </a:extLst>
        </xdr:cNvPr>
        <xdr:cNvSpPr/>
      </xdr:nvSpPr>
      <xdr:spPr>
        <a:xfrm>
          <a:off x="19276232" y="10205418"/>
          <a:ext cx="254000" cy="288979"/>
        </a:xfrm>
        <a:prstGeom prst="ellipse">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290593</xdr:colOff>
      <xdr:row>92</xdr:row>
      <xdr:rowOff>48432</xdr:rowOff>
    </xdr:from>
    <xdr:to>
      <xdr:col>35</xdr:col>
      <xdr:colOff>371314</xdr:colOff>
      <xdr:row>118</xdr:row>
      <xdr:rowOff>1</xdr:rowOff>
    </xdr:to>
    <xdr:graphicFrame macro="">
      <xdr:nvGraphicFramePr>
        <xdr:cNvPr id="94" name="Chart 93">
          <a:extLst>
            <a:ext uri="{FF2B5EF4-FFF2-40B4-BE49-F238E27FC236}">
              <a16:creationId xmlns:a16="http://schemas.microsoft.com/office/drawing/2014/main" id="{3B6013B3-D03A-4848-B554-79F8A97712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134758</xdr:colOff>
      <xdr:row>83</xdr:row>
      <xdr:rowOff>163815</xdr:rowOff>
    </xdr:from>
    <xdr:to>
      <xdr:col>29</xdr:col>
      <xdr:colOff>325257</xdr:colOff>
      <xdr:row>88</xdr:row>
      <xdr:rowOff>36815</xdr:rowOff>
    </xdr:to>
    <xdr:sp macro="" textlink="">
      <xdr:nvSpPr>
        <xdr:cNvPr id="96" name="TextBox 95">
          <a:extLst>
            <a:ext uri="{FF2B5EF4-FFF2-40B4-BE49-F238E27FC236}">
              <a16:creationId xmlns:a16="http://schemas.microsoft.com/office/drawing/2014/main" id="{89DE0D45-64AA-4D4B-92C3-E4BECCF9A5E1}"/>
            </a:ext>
          </a:extLst>
        </xdr:cNvPr>
        <xdr:cNvSpPr txBox="1"/>
      </xdr:nvSpPr>
      <xdr:spPr>
        <a:xfrm>
          <a:off x="14218151" y="17104708"/>
          <a:ext cx="3864427" cy="893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Gender Range</a:t>
          </a:r>
        </a:p>
        <a:p>
          <a:endParaRPr lang="en-US" sz="4000" b="1">
            <a:solidFill>
              <a:srgbClr val="FFFF00"/>
            </a:solidFill>
          </a:endParaRPr>
        </a:p>
      </xdr:txBody>
    </xdr:sp>
    <xdr:clientData/>
  </xdr:twoCellAnchor>
  <xdr:twoCellAnchor>
    <xdr:from>
      <xdr:col>22</xdr:col>
      <xdr:colOff>455517</xdr:colOff>
      <xdr:row>84</xdr:row>
      <xdr:rowOff>181352</xdr:rowOff>
    </xdr:from>
    <xdr:to>
      <xdr:col>23</xdr:col>
      <xdr:colOff>106268</xdr:colOff>
      <xdr:row>86</xdr:row>
      <xdr:rowOff>86102</xdr:rowOff>
    </xdr:to>
    <xdr:sp macro="" textlink="">
      <xdr:nvSpPr>
        <xdr:cNvPr id="97" name="Oval 96">
          <a:extLst>
            <a:ext uri="{FF2B5EF4-FFF2-40B4-BE49-F238E27FC236}">
              <a16:creationId xmlns:a16="http://schemas.microsoft.com/office/drawing/2014/main" id="{F8F7C818-CD82-47A6-8727-D7FCA847226C}"/>
            </a:ext>
          </a:extLst>
        </xdr:cNvPr>
        <xdr:cNvSpPr/>
      </xdr:nvSpPr>
      <xdr:spPr>
        <a:xfrm>
          <a:off x="14014635" y="16653999"/>
          <a:ext cx="267074" cy="296956"/>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455517</xdr:colOff>
      <xdr:row>86</xdr:row>
      <xdr:rowOff>138630</xdr:rowOff>
    </xdr:from>
    <xdr:to>
      <xdr:col>35</xdr:col>
      <xdr:colOff>42090</xdr:colOff>
      <xdr:row>89</xdr:row>
      <xdr:rowOff>34018</xdr:rowOff>
    </xdr:to>
    <xdr:sp macro="" textlink="">
      <xdr:nvSpPr>
        <xdr:cNvPr id="98" name="TextBox 97">
          <a:extLst>
            <a:ext uri="{FF2B5EF4-FFF2-40B4-BE49-F238E27FC236}">
              <a16:creationId xmlns:a16="http://schemas.microsoft.com/office/drawing/2014/main" id="{FA3B5F76-1EEC-4B7B-A1E7-C014B0AF6CE4}"/>
            </a:ext>
          </a:extLst>
        </xdr:cNvPr>
        <xdr:cNvSpPr txBox="1"/>
      </xdr:nvSpPr>
      <xdr:spPr>
        <a:xfrm>
          <a:off x="14014635" y="17003483"/>
          <a:ext cx="7598779" cy="483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500" b="1">
              <a:solidFill>
                <a:schemeClr val="bg1"/>
              </a:solidFill>
            </a:rPr>
            <a:t>No.</a:t>
          </a:r>
          <a:r>
            <a:rPr lang="en-US" sz="2500" b="1" baseline="0">
              <a:solidFill>
                <a:schemeClr val="bg1"/>
              </a:solidFill>
            </a:rPr>
            <a:t> of employees according to age ranges &amp; gender</a:t>
          </a:r>
          <a:endParaRPr lang="en-US" sz="2500" b="1">
            <a:solidFill>
              <a:schemeClr val="bg1"/>
            </a:solidFill>
          </a:endParaRPr>
        </a:p>
      </xdr:txBody>
    </xdr:sp>
    <xdr:clientData/>
  </xdr:twoCellAnchor>
  <xdr:twoCellAnchor>
    <xdr:from>
      <xdr:col>30</xdr:col>
      <xdr:colOff>282199</xdr:colOff>
      <xdr:row>88</xdr:row>
      <xdr:rowOff>181352</xdr:rowOff>
    </xdr:from>
    <xdr:to>
      <xdr:col>36</xdr:col>
      <xdr:colOff>482923</xdr:colOff>
      <xdr:row>93</xdr:row>
      <xdr:rowOff>51124</xdr:rowOff>
    </xdr:to>
    <xdr:sp macro="" textlink="">
      <xdr:nvSpPr>
        <xdr:cNvPr id="99" name="TextBox 98">
          <a:extLst>
            <a:ext uri="{FF2B5EF4-FFF2-40B4-BE49-F238E27FC236}">
              <a16:creationId xmlns:a16="http://schemas.microsoft.com/office/drawing/2014/main" id="{8140A3CC-CA43-4CB4-8F81-E24A4E032519}"/>
            </a:ext>
          </a:extLst>
        </xdr:cNvPr>
        <xdr:cNvSpPr txBox="1"/>
      </xdr:nvSpPr>
      <xdr:spPr>
        <a:xfrm>
          <a:off x="18771905" y="17438411"/>
          <a:ext cx="3898665" cy="850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000" b="1">
              <a:solidFill>
                <a:srgbClr val="FFFF00"/>
              </a:solidFill>
            </a:rPr>
            <a:t>Female</a:t>
          </a:r>
        </a:p>
      </xdr:txBody>
    </xdr:sp>
    <xdr:clientData/>
  </xdr:twoCellAnchor>
  <xdr:twoCellAnchor>
    <xdr:from>
      <xdr:col>24</xdr:col>
      <xdr:colOff>64576</xdr:colOff>
      <xdr:row>88</xdr:row>
      <xdr:rowOff>181352</xdr:rowOff>
    </xdr:from>
    <xdr:to>
      <xdr:col>30</xdr:col>
      <xdr:colOff>338810</xdr:colOff>
      <xdr:row>93</xdr:row>
      <xdr:rowOff>51124</xdr:rowOff>
    </xdr:to>
    <xdr:sp macro="" textlink="">
      <xdr:nvSpPr>
        <xdr:cNvPr id="100" name="TextBox 99">
          <a:extLst>
            <a:ext uri="{FF2B5EF4-FFF2-40B4-BE49-F238E27FC236}">
              <a16:creationId xmlns:a16="http://schemas.microsoft.com/office/drawing/2014/main" id="{7D8183D2-F0D2-4ECD-8056-4EA5D4E97701}"/>
            </a:ext>
          </a:extLst>
        </xdr:cNvPr>
        <xdr:cNvSpPr txBox="1"/>
      </xdr:nvSpPr>
      <xdr:spPr>
        <a:xfrm>
          <a:off x="14856341" y="17438411"/>
          <a:ext cx="3972175" cy="850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000" b="1">
              <a:solidFill>
                <a:srgbClr val="FFFF00"/>
              </a:solidFill>
            </a:rPr>
            <a:t>Male</a:t>
          </a:r>
        </a:p>
      </xdr:txBody>
    </xdr:sp>
    <xdr:clientData/>
  </xdr:twoCellAnchor>
  <xdr:twoCellAnchor>
    <xdr:from>
      <xdr:col>30</xdr:col>
      <xdr:colOff>29814</xdr:colOff>
      <xdr:row>89</xdr:row>
      <xdr:rowOff>127215</xdr:rowOff>
    </xdr:from>
    <xdr:to>
      <xdr:col>30</xdr:col>
      <xdr:colOff>283814</xdr:colOff>
      <xdr:row>91</xdr:row>
      <xdr:rowOff>31965</xdr:rowOff>
    </xdr:to>
    <xdr:sp macro="" textlink="">
      <xdr:nvSpPr>
        <xdr:cNvPr id="101" name="Oval 100">
          <a:extLst>
            <a:ext uri="{FF2B5EF4-FFF2-40B4-BE49-F238E27FC236}">
              <a16:creationId xmlns:a16="http://schemas.microsoft.com/office/drawing/2014/main" id="{CC1F9F95-E4C2-4C08-9C37-E80A1D141566}"/>
            </a:ext>
          </a:extLst>
        </xdr:cNvPr>
        <xdr:cNvSpPr/>
      </xdr:nvSpPr>
      <xdr:spPr>
        <a:xfrm>
          <a:off x="18434051" y="17369079"/>
          <a:ext cx="254000" cy="292208"/>
        </a:xfrm>
        <a:prstGeom prst="ellipse">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456663</xdr:colOff>
      <xdr:row>89</xdr:row>
      <xdr:rowOff>118174</xdr:rowOff>
    </xdr:from>
    <xdr:to>
      <xdr:col>24</xdr:col>
      <xdr:colOff>97188</xdr:colOff>
      <xdr:row>91</xdr:row>
      <xdr:rowOff>22924</xdr:rowOff>
    </xdr:to>
    <xdr:sp macro="" textlink="">
      <xdr:nvSpPr>
        <xdr:cNvPr id="102" name="Oval 101">
          <a:extLst>
            <a:ext uri="{FF2B5EF4-FFF2-40B4-BE49-F238E27FC236}">
              <a16:creationId xmlns:a16="http://schemas.microsoft.com/office/drawing/2014/main" id="{2EEC334A-92B4-40EC-A3F5-3B4634D2FCD9}"/>
            </a:ext>
          </a:extLst>
        </xdr:cNvPr>
        <xdr:cNvSpPr/>
      </xdr:nvSpPr>
      <xdr:spPr>
        <a:xfrm>
          <a:off x="14566578" y="17360038"/>
          <a:ext cx="254000" cy="29220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563609</xdr:colOff>
      <xdr:row>84</xdr:row>
      <xdr:rowOff>157319</xdr:rowOff>
    </xdr:from>
    <xdr:to>
      <xdr:col>18</xdr:col>
      <xdr:colOff>136632</xdr:colOff>
      <xdr:row>89</xdr:row>
      <xdr:rowOff>30319</xdr:rowOff>
    </xdr:to>
    <xdr:sp macro="" textlink="">
      <xdr:nvSpPr>
        <xdr:cNvPr id="104" name="TextBox 103">
          <a:extLst>
            <a:ext uri="{FF2B5EF4-FFF2-40B4-BE49-F238E27FC236}">
              <a16:creationId xmlns:a16="http://schemas.microsoft.com/office/drawing/2014/main" id="{1FE87C60-A4FE-4430-87C4-C8727D99E925}"/>
            </a:ext>
          </a:extLst>
        </xdr:cNvPr>
        <xdr:cNvSpPr txBox="1"/>
      </xdr:nvSpPr>
      <xdr:spPr>
        <a:xfrm>
          <a:off x="7343168" y="16629966"/>
          <a:ext cx="3887288" cy="853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Work Location</a:t>
          </a:r>
        </a:p>
        <a:p>
          <a:endParaRPr lang="en-US" sz="4000" b="1">
            <a:solidFill>
              <a:srgbClr val="FFFF00"/>
            </a:solidFill>
          </a:endParaRPr>
        </a:p>
      </xdr:txBody>
    </xdr:sp>
    <xdr:clientData/>
  </xdr:twoCellAnchor>
  <xdr:twoCellAnchor>
    <xdr:from>
      <xdr:col>11</xdr:col>
      <xdr:colOff>331922</xdr:colOff>
      <xdr:row>88</xdr:row>
      <xdr:rowOff>25806</xdr:rowOff>
    </xdr:from>
    <xdr:to>
      <xdr:col>16</xdr:col>
      <xdr:colOff>588291</xdr:colOff>
      <xdr:row>90</xdr:row>
      <xdr:rowOff>125301</xdr:rowOff>
    </xdr:to>
    <xdr:sp macro="" textlink="">
      <xdr:nvSpPr>
        <xdr:cNvPr id="105" name="TextBox 104">
          <a:extLst>
            <a:ext uri="{FF2B5EF4-FFF2-40B4-BE49-F238E27FC236}">
              <a16:creationId xmlns:a16="http://schemas.microsoft.com/office/drawing/2014/main" id="{A71B86A1-78A5-471C-B481-0BF9D5868598}"/>
            </a:ext>
          </a:extLst>
        </xdr:cNvPr>
        <xdr:cNvSpPr txBox="1"/>
      </xdr:nvSpPr>
      <xdr:spPr>
        <a:xfrm>
          <a:off x="7111481" y="17282865"/>
          <a:ext cx="3337986" cy="491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Employees by Work</a:t>
          </a:r>
        </a:p>
      </xdr:txBody>
    </xdr:sp>
    <xdr:clientData/>
  </xdr:twoCellAnchor>
  <xdr:twoCellAnchor>
    <xdr:from>
      <xdr:col>11</xdr:col>
      <xdr:colOff>274447</xdr:colOff>
      <xdr:row>91</xdr:row>
      <xdr:rowOff>145295</xdr:rowOff>
    </xdr:from>
    <xdr:to>
      <xdr:col>21</xdr:col>
      <xdr:colOff>113008</xdr:colOff>
      <xdr:row>118</xdr:row>
      <xdr:rowOff>32288</xdr:rowOff>
    </xdr:to>
    <xdr:graphicFrame macro="">
      <xdr:nvGraphicFramePr>
        <xdr:cNvPr id="106" name="Chart 105">
          <a:extLst>
            <a:ext uri="{FF2B5EF4-FFF2-40B4-BE49-F238E27FC236}">
              <a16:creationId xmlns:a16="http://schemas.microsoft.com/office/drawing/2014/main" id="{C5F9BDE9-DE31-4E8D-99FB-41DAED66D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331922</xdr:colOff>
      <xdr:row>92</xdr:row>
      <xdr:rowOff>86530</xdr:rowOff>
    </xdr:from>
    <xdr:to>
      <xdr:col>14</xdr:col>
      <xdr:colOff>355170</xdr:colOff>
      <xdr:row>94</xdr:row>
      <xdr:rowOff>175647</xdr:rowOff>
    </xdr:to>
    <xdr:sp macro="" textlink="Pivot!$J$16">
      <xdr:nvSpPr>
        <xdr:cNvPr id="108" name="TextBox 107">
          <a:extLst>
            <a:ext uri="{FF2B5EF4-FFF2-40B4-BE49-F238E27FC236}">
              <a16:creationId xmlns:a16="http://schemas.microsoft.com/office/drawing/2014/main" id="{E54A1920-22B5-4402-9040-71EA472E0EB3}"/>
            </a:ext>
          </a:extLst>
        </xdr:cNvPr>
        <xdr:cNvSpPr txBox="1"/>
      </xdr:nvSpPr>
      <xdr:spPr>
        <a:xfrm>
          <a:off x="7111481" y="18128001"/>
          <a:ext cx="1872218" cy="481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C0E3467-663B-437F-AD41-D6A4B36763E8}" type="TxLink">
            <a:rPr lang="en-US" sz="2000" b="1" i="0" u="none" strike="noStrike">
              <a:solidFill>
                <a:schemeClr val="bg1"/>
              </a:solidFill>
              <a:latin typeface="Aptos Narrow"/>
            </a:rPr>
            <a:pPr/>
            <a:t>Branch Office</a:t>
          </a:fld>
          <a:endParaRPr lang="en-US" sz="2000" b="1">
            <a:solidFill>
              <a:schemeClr val="bg1"/>
            </a:solidFill>
          </a:endParaRPr>
        </a:p>
      </xdr:txBody>
    </xdr:sp>
    <xdr:clientData/>
  </xdr:twoCellAnchor>
  <xdr:twoCellAnchor>
    <xdr:from>
      <xdr:col>11</xdr:col>
      <xdr:colOff>331922</xdr:colOff>
      <xdr:row>100</xdr:row>
      <xdr:rowOff>158211</xdr:rowOff>
    </xdr:from>
    <xdr:to>
      <xdr:col>14</xdr:col>
      <xdr:colOff>25185</xdr:colOff>
      <xdr:row>103</xdr:row>
      <xdr:rowOff>53598</xdr:rowOff>
    </xdr:to>
    <xdr:sp macro="" textlink="Pivot!$J$17">
      <xdr:nvSpPr>
        <xdr:cNvPr id="109" name="TextBox 108">
          <a:extLst>
            <a:ext uri="{FF2B5EF4-FFF2-40B4-BE49-F238E27FC236}">
              <a16:creationId xmlns:a16="http://schemas.microsoft.com/office/drawing/2014/main" id="{333D8AA0-57D7-4BAB-BF18-8195A0FFD299}"/>
            </a:ext>
          </a:extLst>
        </xdr:cNvPr>
        <xdr:cNvSpPr txBox="1"/>
      </xdr:nvSpPr>
      <xdr:spPr>
        <a:xfrm>
          <a:off x="7111481" y="19768505"/>
          <a:ext cx="1542233" cy="48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B40D07-2841-4B69-9C64-64788E16CAEE}" type="TxLink">
            <a:rPr lang="en-US" sz="2000" b="1" i="0" u="none" strike="noStrike">
              <a:solidFill>
                <a:schemeClr val="bg1"/>
              </a:solidFill>
              <a:latin typeface="Aptos Narrow"/>
            </a:rPr>
            <a:pPr/>
            <a:t>Head Office</a:t>
          </a:fld>
          <a:endParaRPr lang="en-US" sz="2000" b="1">
            <a:solidFill>
              <a:schemeClr val="bg1"/>
            </a:solidFill>
          </a:endParaRPr>
        </a:p>
      </xdr:txBody>
    </xdr:sp>
    <xdr:clientData/>
  </xdr:twoCellAnchor>
  <xdr:twoCellAnchor>
    <xdr:from>
      <xdr:col>11</xdr:col>
      <xdr:colOff>331922</xdr:colOff>
      <xdr:row>108</xdr:row>
      <xdr:rowOff>181459</xdr:rowOff>
    </xdr:from>
    <xdr:to>
      <xdr:col>13</xdr:col>
      <xdr:colOff>211812</xdr:colOff>
      <xdr:row>111</xdr:row>
      <xdr:rowOff>76847</xdr:rowOff>
    </xdr:to>
    <xdr:sp macro="" textlink="Pivot!$J$18">
      <xdr:nvSpPr>
        <xdr:cNvPr id="110" name="TextBox 109">
          <a:extLst>
            <a:ext uri="{FF2B5EF4-FFF2-40B4-BE49-F238E27FC236}">
              <a16:creationId xmlns:a16="http://schemas.microsoft.com/office/drawing/2014/main" id="{A79807A2-1DE6-4AAE-A2F6-73B6FE75DA4D}"/>
            </a:ext>
          </a:extLst>
        </xdr:cNvPr>
        <xdr:cNvSpPr txBox="1"/>
      </xdr:nvSpPr>
      <xdr:spPr>
        <a:xfrm>
          <a:off x="7111481" y="21360577"/>
          <a:ext cx="1112537" cy="48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02F8F5A-C647-4157-9BB1-797BBC7285F0}" type="TxLink">
            <a:rPr lang="en-US" sz="2000" b="1" i="0" u="none" strike="noStrike">
              <a:solidFill>
                <a:schemeClr val="bg1"/>
              </a:solidFill>
              <a:latin typeface="Aptos Narrow"/>
            </a:rPr>
            <a:pPr/>
            <a:t>Remote</a:t>
          </a:fld>
          <a:endParaRPr lang="en-US" sz="2000" b="1">
            <a:solidFill>
              <a:schemeClr val="bg1"/>
            </a:solidFill>
          </a:endParaRPr>
        </a:p>
      </xdr:txBody>
    </xdr:sp>
    <xdr:clientData/>
  </xdr:twoCellAnchor>
  <xdr:twoCellAnchor>
    <xdr:from>
      <xdr:col>11</xdr:col>
      <xdr:colOff>331922</xdr:colOff>
      <xdr:row>85</xdr:row>
      <xdr:rowOff>163086</xdr:rowOff>
    </xdr:from>
    <xdr:to>
      <xdr:col>11</xdr:col>
      <xdr:colOff>600149</xdr:colOff>
      <xdr:row>87</xdr:row>
      <xdr:rowOff>57458</xdr:rowOff>
    </xdr:to>
    <xdr:sp macro="" textlink="">
      <xdr:nvSpPr>
        <xdr:cNvPr id="111" name="Oval 110">
          <a:extLst>
            <a:ext uri="{FF2B5EF4-FFF2-40B4-BE49-F238E27FC236}">
              <a16:creationId xmlns:a16="http://schemas.microsoft.com/office/drawing/2014/main" id="{57513A66-6C4F-488F-8BDB-13BBA24D62B2}"/>
            </a:ext>
          </a:extLst>
        </xdr:cNvPr>
        <xdr:cNvSpPr/>
      </xdr:nvSpPr>
      <xdr:spPr>
        <a:xfrm>
          <a:off x="7111481" y="16831836"/>
          <a:ext cx="268227" cy="28657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451648</xdr:colOff>
      <xdr:row>51</xdr:row>
      <xdr:rowOff>162353</xdr:rowOff>
    </xdr:from>
    <xdr:to>
      <xdr:col>52</xdr:col>
      <xdr:colOff>177584</xdr:colOff>
      <xdr:row>80</xdr:row>
      <xdr:rowOff>129153</xdr:rowOff>
    </xdr:to>
    <xdr:graphicFrame macro="">
      <xdr:nvGraphicFramePr>
        <xdr:cNvPr id="112" name="Chart 111">
          <a:extLst>
            <a:ext uri="{FF2B5EF4-FFF2-40B4-BE49-F238E27FC236}">
              <a16:creationId xmlns:a16="http://schemas.microsoft.com/office/drawing/2014/main" id="{286B6605-8734-4AAD-AE43-233AE816CF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39</xdr:col>
      <xdr:colOff>68451</xdr:colOff>
      <xdr:row>46</xdr:row>
      <xdr:rowOff>646</xdr:rowOff>
    </xdr:from>
    <xdr:to>
      <xdr:col>45</xdr:col>
      <xdr:colOff>258950</xdr:colOff>
      <xdr:row>50</xdr:row>
      <xdr:rowOff>67374</xdr:rowOff>
    </xdr:to>
    <xdr:sp macro="" textlink="">
      <xdr:nvSpPr>
        <xdr:cNvPr id="113" name="TextBox 112">
          <a:extLst>
            <a:ext uri="{FF2B5EF4-FFF2-40B4-BE49-F238E27FC236}">
              <a16:creationId xmlns:a16="http://schemas.microsoft.com/office/drawing/2014/main" id="{E3E35DB7-4A51-4013-939C-51376F504F9E}"/>
            </a:ext>
          </a:extLst>
        </xdr:cNvPr>
        <xdr:cNvSpPr txBox="1"/>
      </xdr:nvSpPr>
      <xdr:spPr>
        <a:xfrm>
          <a:off x="23993959" y="8912171"/>
          <a:ext cx="3871347" cy="841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Leave Tracking</a:t>
          </a:r>
        </a:p>
      </xdr:txBody>
    </xdr:sp>
    <xdr:clientData/>
  </xdr:twoCellAnchor>
  <xdr:twoCellAnchor>
    <xdr:from>
      <xdr:col>38</xdr:col>
      <xdr:colOff>434275</xdr:colOff>
      <xdr:row>47</xdr:row>
      <xdr:rowOff>19911</xdr:rowOff>
    </xdr:from>
    <xdr:to>
      <xdr:col>39</xdr:col>
      <xdr:colOff>85026</xdr:colOff>
      <xdr:row>48</xdr:row>
      <xdr:rowOff>118390</xdr:rowOff>
    </xdr:to>
    <xdr:sp macro="" textlink="">
      <xdr:nvSpPr>
        <xdr:cNvPr id="114" name="Oval 113">
          <a:extLst>
            <a:ext uri="{FF2B5EF4-FFF2-40B4-BE49-F238E27FC236}">
              <a16:creationId xmlns:a16="http://schemas.microsoft.com/office/drawing/2014/main" id="{81093B8B-6B6A-490C-A39A-2A3AF19FDB96}"/>
            </a:ext>
          </a:extLst>
        </xdr:cNvPr>
        <xdr:cNvSpPr/>
      </xdr:nvSpPr>
      <xdr:spPr>
        <a:xfrm>
          <a:off x="23746309" y="9125165"/>
          <a:ext cx="264225" cy="292208"/>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546223</xdr:colOff>
      <xdr:row>48</xdr:row>
      <xdr:rowOff>184940</xdr:rowOff>
    </xdr:from>
    <xdr:to>
      <xdr:col>51</xdr:col>
      <xdr:colOff>132795</xdr:colOff>
      <xdr:row>51</xdr:row>
      <xdr:rowOff>69950</xdr:rowOff>
    </xdr:to>
    <xdr:sp macro="" textlink="">
      <xdr:nvSpPr>
        <xdr:cNvPr id="115" name="TextBox 114">
          <a:extLst>
            <a:ext uri="{FF2B5EF4-FFF2-40B4-BE49-F238E27FC236}">
              <a16:creationId xmlns:a16="http://schemas.microsoft.com/office/drawing/2014/main" id="{E5F2BBA3-78B4-42FC-B394-FD7909DF94D1}"/>
            </a:ext>
          </a:extLst>
        </xdr:cNvPr>
        <xdr:cNvSpPr txBox="1"/>
      </xdr:nvSpPr>
      <xdr:spPr>
        <a:xfrm>
          <a:off x="23814437" y="9982083"/>
          <a:ext cx="7546751" cy="497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500" b="1">
              <a:solidFill>
                <a:schemeClr val="bg1"/>
              </a:solidFill>
            </a:rPr>
            <a:t>Leave takenn by job roles or titles</a:t>
          </a:r>
        </a:p>
      </xdr:txBody>
    </xdr:sp>
    <xdr:clientData/>
  </xdr:twoCellAnchor>
  <xdr:twoCellAnchor>
    <xdr:from>
      <xdr:col>37</xdr:col>
      <xdr:colOff>580334</xdr:colOff>
      <xdr:row>89</xdr:row>
      <xdr:rowOff>123556</xdr:rowOff>
    </xdr:from>
    <xdr:to>
      <xdr:col>50</xdr:col>
      <xdr:colOff>162905</xdr:colOff>
      <xdr:row>92</xdr:row>
      <xdr:rowOff>4270</xdr:rowOff>
    </xdr:to>
    <xdr:sp macro="" textlink="">
      <xdr:nvSpPr>
        <xdr:cNvPr id="116" name="TextBox 115">
          <a:extLst>
            <a:ext uri="{FF2B5EF4-FFF2-40B4-BE49-F238E27FC236}">
              <a16:creationId xmlns:a16="http://schemas.microsoft.com/office/drawing/2014/main" id="{3DE00B56-66D2-4E6E-99BC-87C85E6A8B70}"/>
            </a:ext>
          </a:extLst>
        </xdr:cNvPr>
        <xdr:cNvSpPr txBox="1"/>
      </xdr:nvSpPr>
      <xdr:spPr>
        <a:xfrm>
          <a:off x="23384305" y="17576718"/>
          <a:ext cx="7594776" cy="469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000" b="1">
              <a:solidFill>
                <a:schemeClr val="bg1"/>
              </a:solidFill>
            </a:rPr>
            <a:t>Salaary</a:t>
          </a:r>
          <a:r>
            <a:rPr lang="en-US" sz="3000" b="1" baseline="0">
              <a:solidFill>
                <a:schemeClr val="bg1"/>
              </a:solidFill>
            </a:rPr>
            <a:t> amount by job roles</a:t>
          </a:r>
          <a:endParaRPr lang="en-US" sz="3000" b="1">
            <a:solidFill>
              <a:schemeClr val="bg1"/>
            </a:solidFill>
          </a:endParaRPr>
        </a:p>
      </xdr:txBody>
    </xdr:sp>
    <xdr:clientData/>
  </xdr:twoCellAnchor>
  <xdr:twoCellAnchor>
    <xdr:from>
      <xdr:col>38</xdr:col>
      <xdr:colOff>205470</xdr:colOff>
      <xdr:row>86</xdr:row>
      <xdr:rowOff>74199</xdr:rowOff>
    </xdr:from>
    <xdr:to>
      <xdr:col>44</xdr:col>
      <xdr:colOff>395970</xdr:colOff>
      <xdr:row>90</xdr:row>
      <xdr:rowOff>155602</xdr:rowOff>
    </xdr:to>
    <xdr:sp macro="" textlink="">
      <xdr:nvSpPr>
        <xdr:cNvPr id="117" name="TextBox 116">
          <a:extLst>
            <a:ext uri="{FF2B5EF4-FFF2-40B4-BE49-F238E27FC236}">
              <a16:creationId xmlns:a16="http://schemas.microsoft.com/office/drawing/2014/main" id="{0A83B326-45C3-4866-991F-A7721D897C50}"/>
            </a:ext>
          </a:extLst>
        </xdr:cNvPr>
        <xdr:cNvSpPr txBox="1"/>
      </xdr:nvSpPr>
      <xdr:spPr>
        <a:xfrm>
          <a:off x="23625764" y="16939052"/>
          <a:ext cx="3888441" cy="86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500" b="1">
              <a:solidFill>
                <a:srgbClr val="FFFF00"/>
              </a:solidFill>
            </a:rPr>
            <a:t>Salaries</a:t>
          </a:r>
        </a:p>
      </xdr:txBody>
    </xdr:sp>
    <xdr:clientData/>
  </xdr:twoCellAnchor>
  <xdr:twoCellAnchor>
    <xdr:from>
      <xdr:col>37</xdr:col>
      <xdr:colOff>580334</xdr:colOff>
      <xdr:row>87</xdr:row>
      <xdr:rowOff>93984</xdr:rowOff>
    </xdr:from>
    <xdr:to>
      <xdr:col>38</xdr:col>
      <xdr:colOff>231085</xdr:colOff>
      <xdr:row>88</xdr:row>
      <xdr:rowOff>194837</xdr:rowOff>
    </xdr:to>
    <xdr:sp macro="" textlink="">
      <xdr:nvSpPr>
        <xdr:cNvPr id="118" name="Oval 117">
          <a:extLst>
            <a:ext uri="{FF2B5EF4-FFF2-40B4-BE49-F238E27FC236}">
              <a16:creationId xmlns:a16="http://schemas.microsoft.com/office/drawing/2014/main" id="{322AC386-F329-4066-90D2-EC01522F795D}"/>
            </a:ext>
          </a:extLst>
        </xdr:cNvPr>
        <xdr:cNvSpPr/>
      </xdr:nvSpPr>
      <xdr:spPr>
        <a:xfrm>
          <a:off x="23384305" y="17154940"/>
          <a:ext cx="267074" cy="296956"/>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37</xdr:col>
      <xdr:colOff>299782</xdr:colOff>
      <xdr:row>93</xdr:row>
      <xdr:rowOff>120243</xdr:rowOff>
    </xdr:from>
    <xdr:ext cx="1563761" cy="640240"/>
    <xdr:sp macro="" textlink="Pivot!$S$12">
      <xdr:nvSpPr>
        <xdr:cNvPr id="119" name="TextBox 118">
          <a:extLst>
            <a:ext uri="{FF2B5EF4-FFF2-40B4-BE49-F238E27FC236}">
              <a16:creationId xmlns:a16="http://schemas.microsoft.com/office/drawing/2014/main" id="{E2326F98-0438-4BD4-91D2-B5B5F8836AD8}"/>
            </a:ext>
          </a:extLst>
        </xdr:cNvPr>
        <xdr:cNvSpPr txBox="1"/>
      </xdr:nvSpPr>
      <xdr:spPr>
        <a:xfrm>
          <a:off x="23103753" y="18357817"/>
          <a:ext cx="1563761" cy="640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chorCtr="1">
          <a:spAutoFit/>
        </a:bodyPr>
        <a:lstStyle/>
        <a:p>
          <a:fld id="{97E00DBD-EBCB-4C34-A1CE-768A5E523B25}" type="TxLink">
            <a:rPr lang="en-US" sz="3500" b="1" i="0" u="none" strike="noStrike">
              <a:solidFill>
                <a:schemeClr val="bg1"/>
              </a:solidFill>
              <a:latin typeface="Aptos Narrow"/>
            </a:rPr>
            <a:pPr/>
            <a:t>Analyst</a:t>
          </a:fld>
          <a:endParaRPr lang="en-US" sz="3500" b="1" i="0" u="none" strike="noStrike">
            <a:solidFill>
              <a:schemeClr val="bg1"/>
            </a:solidFill>
            <a:latin typeface="Aptos Narrow"/>
          </a:endParaRPr>
        </a:p>
      </xdr:txBody>
    </xdr:sp>
    <xdr:clientData/>
  </xdr:oneCellAnchor>
  <xdr:oneCellAnchor>
    <xdr:from>
      <xdr:col>37</xdr:col>
      <xdr:colOff>299782</xdr:colOff>
      <xdr:row>97</xdr:row>
      <xdr:rowOff>138731</xdr:rowOff>
    </xdr:from>
    <xdr:ext cx="1835439" cy="640240"/>
    <xdr:sp macro="" textlink="Pivot!$S$13">
      <xdr:nvSpPr>
        <xdr:cNvPr id="120" name="TextBox 119">
          <a:extLst>
            <a:ext uri="{FF2B5EF4-FFF2-40B4-BE49-F238E27FC236}">
              <a16:creationId xmlns:a16="http://schemas.microsoft.com/office/drawing/2014/main" id="{585420AB-2A95-47E4-8E7B-84048125C974}"/>
            </a:ext>
          </a:extLst>
        </xdr:cNvPr>
        <xdr:cNvSpPr txBox="1"/>
      </xdr:nvSpPr>
      <xdr:spPr>
        <a:xfrm>
          <a:off x="23103753" y="19160716"/>
          <a:ext cx="1835439" cy="640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chorCtr="1">
          <a:spAutoFit/>
        </a:bodyPr>
        <a:lstStyle/>
        <a:p>
          <a:fld id="{F810E985-E8CC-4322-80B7-1C2B483304DD}" type="TxLink">
            <a:rPr lang="en-US" sz="3500" b="1" i="0" u="none" strike="noStrike">
              <a:solidFill>
                <a:schemeClr val="bg1"/>
              </a:solidFill>
              <a:latin typeface="Aptos Narrow"/>
            </a:rPr>
            <a:pPr/>
            <a:t>Designer</a:t>
          </a:fld>
          <a:endParaRPr lang="en-US" sz="3500" b="1" i="0" u="none" strike="noStrike">
            <a:solidFill>
              <a:schemeClr val="bg1"/>
            </a:solidFill>
            <a:latin typeface="Aptos Narrow"/>
          </a:endParaRPr>
        </a:p>
      </xdr:txBody>
    </xdr:sp>
    <xdr:clientData/>
  </xdr:oneCellAnchor>
  <xdr:oneCellAnchor>
    <xdr:from>
      <xdr:col>37</xdr:col>
      <xdr:colOff>383826</xdr:colOff>
      <xdr:row>101</xdr:row>
      <xdr:rowOff>66653</xdr:rowOff>
    </xdr:from>
    <xdr:ext cx="2092239" cy="640240"/>
    <xdr:sp macro="" textlink="Pivot!$S$14">
      <xdr:nvSpPr>
        <xdr:cNvPr id="121" name="TextBox 120">
          <a:extLst>
            <a:ext uri="{FF2B5EF4-FFF2-40B4-BE49-F238E27FC236}">
              <a16:creationId xmlns:a16="http://schemas.microsoft.com/office/drawing/2014/main" id="{A0585D0C-4CD0-46CA-AD54-9EDF3A46843A}"/>
            </a:ext>
          </a:extLst>
        </xdr:cNvPr>
        <xdr:cNvSpPr txBox="1"/>
      </xdr:nvSpPr>
      <xdr:spPr>
        <a:xfrm>
          <a:off x="23187797" y="19873050"/>
          <a:ext cx="2092239" cy="640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chorCtr="1">
          <a:spAutoFit/>
        </a:bodyPr>
        <a:lstStyle/>
        <a:p>
          <a:fld id="{BD77C823-440C-46BF-AF0A-618A3F7C23F1}" type="TxLink">
            <a:rPr lang="en-US" sz="3500" b="1" i="0" u="none" strike="noStrike">
              <a:solidFill>
                <a:schemeClr val="bg1"/>
              </a:solidFill>
              <a:latin typeface="Aptos Narrow"/>
            </a:rPr>
            <a:pPr/>
            <a:t>Developer</a:t>
          </a:fld>
          <a:endParaRPr lang="en-US" sz="3500" b="1" i="0" u="none" strike="noStrike">
            <a:solidFill>
              <a:schemeClr val="bg1"/>
            </a:solidFill>
            <a:latin typeface="Aptos Narrow"/>
          </a:endParaRPr>
        </a:p>
      </xdr:txBody>
    </xdr:sp>
    <xdr:clientData/>
  </xdr:oneCellAnchor>
  <xdr:oneCellAnchor>
    <xdr:from>
      <xdr:col>37</xdr:col>
      <xdr:colOff>299782</xdr:colOff>
      <xdr:row>105</xdr:row>
      <xdr:rowOff>163384</xdr:rowOff>
    </xdr:from>
    <xdr:ext cx="2664384" cy="640240"/>
    <xdr:sp macro="" textlink="Pivot!$S$15">
      <xdr:nvSpPr>
        <xdr:cNvPr id="122" name="TextBox 121">
          <a:extLst>
            <a:ext uri="{FF2B5EF4-FFF2-40B4-BE49-F238E27FC236}">
              <a16:creationId xmlns:a16="http://schemas.microsoft.com/office/drawing/2014/main" id="{182C029C-27D5-4B09-8D28-0B3A456EBA67}"/>
            </a:ext>
          </a:extLst>
        </xdr:cNvPr>
        <xdr:cNvSpPr txBox="1"/>
      </xdr:nvSpPr>
      <xdr:spPr>
        <a:xfrm>
          <a:off x="23103753" y="20754193"/>
          <a:ext cx="2664384" cy="640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chorCtr="1">
          <a:spAutoFit/>
        </a:bodyPr>
        <a:lstStyle/>
        <a:p>
          <a:fld id="{2B9C4670-F006-4419-AA5D-E30BD5FBD477}" type="TxLink">
            <a:rPr lang="en-US" sz="3500" b="1" i="0" u="none" strike="noStrike">
              <a:solidFill>
                <a:schemeClr val="bg1"/>
              </a:solidFill>
              <a:latin typeface="Aptos Narrow"/>
            </a:rPr>
            <a:pPr/>
            <a:t>HR Specialist</a:t>
          </a:fld>
          <a:endParaRPr lang="en-US" sz="3500" b="1" i="0" u="none" strike="noStrike">
            <a:solidFill>
              <a:schemeClr val="bg1"/>
            </a:solidFill>
            <a:latin typeface="Aptos Narrow"/>
          </a:endParaRPr>
        </a:p>
      </xdr:txBody>
    </xdr:sp>
    <xdr:clientData/>
  </xdr:oneCellAnchor>
  <xdr:oneCellAnchor>
    <xdr:from>
      <xdr:col>37</xdr:col>
      <xdr:colOff>439856</xdr:colOff>
      <xdr:row>109</xdr:row>
      <xdr:rowOff>97831</xdr:rowOff>
    </xdr:from>
    <xdr:ext cx="1782860" cy="640240"/>
    <xdr:sp macro="" textlink="Pivot!$S$16">
      <xdr:nvSpPr>
        <xdr:cNvPr id="123" name="TextBox 122">
          <a:extLst>
            <a:ext uri="{FF2B5EF4-FFF2-40B4-BE49-F238E27FC236}">
              <a16:creationId xmlns:a16="http://schemas.microsoft.com/office/drawing/2014/main" id="{666ECA2C-57C3-4710-BEAA-0BED7809B9FB}"/>
            </a:ext>
          </a:extLst>
        </xdr:cNvPr>
        <xdr:cNvSpPr txBox="1"/>
      </xdr:nvSpPr>
      <xdr:spPr>
        <a:xfrm>
          <a:off x="23243827" y="21473052"/>
          <a:ext cx="1782860" cy="640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t" anchorCtr="1">
          <a:spAutoFit/>
        </a:bodyPr>
        <a:lstStyle/>
        <a:p>
          <a:fld id="{667AFB47-986D-4140-A951-7F703A518FF5}" type="TxLink">
            <a:rPr lang="en-US" sz="3500" b="1" i="0" u="none" strike="noStrike">
              <a:solidFill>
                <a:schemeClr val="bg1"/>
              </a:solidFill>
              <a:latin typeface="Aptos Narrow"/>
            </a:rPr>
            <a:pPr/>
            <a:t>Manager</a:t>
          </a:fld>
          <a:endParaRPr lang="en-US" sz="3500" b="1" i="0" u="none" strike="noStrike">
            <a:solidFill>
              <a:schemeClr val="bg1"/>
            </a:solidFill>
            <a:latin typeface="Aptos Narrow"/>
          </a:endParaRPr>
        </a:p>
      </xdr:txBody>
    </xdr:sp>
    <xdr:clientData/>
  </xdr:oneCellAnchor>
  <xdr:oneCellAnchor>
    <xdr:from>
      <xdr:col>43</xdr:col>
      <xdr:colOff>396152</xdr:colOff>
      <xdr:row>93</xdr:row>
      <xdr:rowOff>142457</xdr:rowOff>
    </xdr:from>
    <xdr:ext cx="2069142" cy="595813"/>
    <xdr:sp macro="" textlink="Pivot!$T$12">
      <xdr:nvSpPr>
        <xdr:cNvPr id="124" name="TextBox 123">
          <a:extLst>
            <a:ext uri="{FF2B5EF4-FFF2-40B4-BE49-F238E27FC236}">
              <a16:creationId xmlns:a16="http://schemas.microsoft.com/office/drawing/2014/main" id="{A0F09110-9304-4CFE-B203-AF7D935A7801}"/>
            </a:ext>
          </a:extLst>
        </xdr:cNvPr>
        <xdr:cNvSpPr txBox="1"/>
      </xdr:nvSpPr>
      <xdr:spPr>
        <a:xfrm>
          <a:off x="26898064" y="18380031"/>
          <a:ext cx="2069142" cy="595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nchorCtr="1">
          <a:noAutofit/>
        </a:bodyPr>
        <a:lstStyle/>
        <a:p>
          <a:fld id="{737E81B9-808B-422E-8E8C-A11E078B83B3}" type="TxLink">
            <a:rPr lang="en-US" sz="3500" b="1" i="0" u="none" strike="noStrike">
              <a:solidFill>
                <a:schemeClr val="bg1"/>
              </a:solidFill>
              <a:latin typeface="Aptos Narrow"/>
            </a:rPr>
            <a:pPr/>
            <a:t>₹ 991,270</a:t>
          </a:fld>
          <a:endParaRPr lang="en-US" sz="3500" b="1" i="0" u="none" strike="noStrike">
            <a:solidFill>
              <a:schemeClr val="bg1"/>
            </a:solidFill>
            <a:latin typeface="Aptos Narrow"/>
          </a:endParaRPr>
        </a:p>
      </xdr:txBody>
    </xdr:sp>
    <xdr:clientData/>
  </xdr:oneCellAnchor>
  <xdr:oneCellAnchor>
    <xdr:from>
      <xdr:col>43</xdr:col>
      <xdr:colOff>156345</xdr:colOff>
      <xdr:row>97</xdr:row>
      <xdr:rowOff>97072</xdr:rowOff>
    </xdr:from>
    <xdr:ext cx="2617110" cy="723561"/>
    <xdr:sp macro="" textlink="Pivot!$T$13">
      <xdr:nvSpPr>
        <xdr:cNvPr id="125" name="TextBox 124">
          <a:extLst>
            <a:ext uri="{FF2B5EF4-FFF2-40B4-BE49-F238E27FC236}">
              <a16:creationId xmlns:a16="http://schemas.microsoft.com/office/drawing/2014/main" id="{25530AE3-149E-4AB7-A0D9-F35D1C2D9F63}"/>
            </a:ext>
          </a:extLst>
        </xdr:cNvPr>
        <xdr:cNvSpPr txBox="1"/>
      </xdr:nvSpPr>
      <xdr:spPr>
        <a:xfrm>
          <a:off x="26658257" y="19119057"/>
          <a:ext cx="2617110" cy="723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nchorCtr="1">
          <a:noAutofit/>
        </a:bodyPr>
        <a:lstStyle/>
        <a:p>
          <a:fld id="{E6CA171C-772C-49C8-9B61-766452D9883D}" type="TxLink">
            <a:rPr lang="en-US" sz="3500" b="1" i="0" u="none" strike="noStrike">
              <a:solidFill>
                <a:schemeClr val="bg1"/>
              </a:solidFill>
              <a:latin typeface="Aptos Narrow"/>
            </a:rPr>
            <a:pPr/>
            <a:t>₹ 1,141,425</a:t>
          </a:fld>
          <a:endParaRPr lang="en-US" sz="3500" b="1" i="0" u="none" strike="noStrike">
            <a:solidFill>
              <a:schemeClr val="bg1"/>
            </a:solidFill>
            <a:latin typeface="Aptos Narrow"/>
          </a:endParaRPr>
        </a:p>
      </xdr:txBody>
    </xdr:sp>
    <xdr:clientData/>
  </xdr:oneCellAnchor>
  <xdr:oneCellAnchor>
    <xdr:from>
      <xdr:col>43</xdr:col>
      <xdr:colOff>140658</xdr:colOff>
      <xdr:row>101</xdr:row>
      <xdr:rowOff>45165</xdr:rowOff>
    </xdr:from>
    <xdr:ext cx="2688827" cy="907336"/>
    <xdr:sp macro="" textlink="Pivot!$T$14">
      <xdr:nvSpPr>
        <xdr:cNvPr id="126" name="TextBox 125">
          <a:extLst>
            <a:ext uri="{FF2B5EF4-FFF2-40B4-BE49-F238E27FC236}">
              <a16:creationId xmlns:a16="http://schemas.microsoft.com/office/drawing/2014/main" id="{99578E81-A038-4A23-BDFF-8A01720A9D32}"/>
            </a:ext>
          </a:extLst>
        </xdr:cNvPr>
        <xdr:cNvSpPr txBox="1"/>
      </xdr:nvSpPr>
      <xdr:spPr>
        <a:xfrm>
          <a:off x="26642570" y="19851562"/>
          <a:ext cx="2688827" cy="907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nchorCtr="1">
          <a:noAutofit/>
        </a:bodyPr>
        <a:lstStyle/>
        <a:p>
          <a:fld id="{44A28348-85D4-404B-B0EE-3B93D23E5B03}" type="TxLink">
            <a:rPr lang="en-US" sz="3500" b="1" i="0" u="none" strike="noStrike">
              <a:solidFill>
                <a:schemeClr val="bg1"/>
              </a:solidFill>
              <a:latin typeface="Aptos Narrow"/>
            </a:rPr>
            <a:pPr/>
            <a:t>₹ 1,258,879</a:t>
          </a:fld>
          <a:endParaRPr lang="en-US" sz="3500" b="1" i="0" u="none" strike="noStrike">
            <a:solidFill>
              <a:schemeClr val="bg1"/>
            </a:solidFill>
            <a:latin typeface="Aptos Narrow"/>
          </a:endParaRPr>
        </a:p>
      </xdr:txBody>
    </xdr:sp>
    <xdr:clientData/>
  </xdr:oneCellAnchor>
  <xdr:oneCellAnchor>
    <xdr:from>
      <xdr:col>43</xdr:col>
      <xdr:colOff>237030</xdr:colOff>
      <xdr:row>105</xdr:row>
      <xdr:rowOff>79340</xdr:rowOff>
    </xdr:from>
    <xdr:ext cx="2368338" cy="640240"/>
    <xdr:sp macro="" textlink="Pivot!$T$15">
      <xdr:nvSpPr>
        <xdr:cNvPr id="127" name="TextBox 126">
          <a:extLst>
            <a:ext uri="{FF2B5EF4-FFF2-40B4-BE49-F238E27FC236}">
              <a16:creationId xmlns:a16="http://schemas.microsoft.com/office/drawing/2014/main" id="{CA3CA7F4-D3E3-4C57-9021-CC10E1C6469D}"/>
            </a:ext>
          </a:extLst>
        </xdr:cNvPr>
        <xdr:cNvSpPr txBox="1"/>
      </xdr:nvSpPr>
      <xdr:spPr>
        <a:xfrm>
          <a:off x="26738942" y="20670149"/>
          <a:ext cx="2368338" cy="640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nchorCtr="1">
          <a:spAutoFit/>
        </a:bodyPr>
        <a:lstStyle/>
        <a:p>
          <a:fld id="{9DE88864-6BC0-43F4-B873-F1A613FB90D5}" type="TxLink">
            <a:rPr lang="en-US" sz="3500" b="1" i="0" u="none" strike="noStrike">
              <a:solidFill>
                <a:schemeClr val="bg1"/>
              </a:solidFill>
              <a:latin typeface="Aptos Narrow"/>
            </a:rPr>
            <a:pPr/>
            <a:t>₹ 1,573,579</a:t>
          </a:fld>
          <a:endParaRPr lang="en-US" sz="3500" b="1" i="0" u="none" strike="noStrike">
            <a:solidFill>
              <a:schemeClr val="bg1"/>
            </a:solidFill>
            <a:latin typeface="Aptos Narrow"/>
          </a:endParaRPr>
        </a:p>
      </xdr:txBody>
    </xdr:sp>
    <xdr:clientData/>
  </xdr:oneCellAnchor>
  <xdr:oneCellAnchor>
    <xdr:from>
      <xdr:col>43</xdr:col>
      <xdr:colOff>109282</xdr:colOff>
      <xdr:row>109</xdr:row>
      <xdr:rowOff>13787</xdr:rowOff>
    </xdr:from>
    <xdr:ext cx="2580130" cy="640240"/>
    <xdr:sp macro="" textlink="Pivot!$T$16">
      <xdr:nvSpPr>
        <xdr:cNvPr id="128" name="TextBox 127">
          <a:extLst>
            <a:ext uri="{FF2B5EF4-FFF2-40B4-BE49-F238E27FC236}">
              <a16:creationId xmlns:a16="http://schemas.microsoft.com/office/drawing/2014/main" id="{078B36C5-04D4-41A1-8C53-089C7BE35A6B}"/>
            </a:ext>
          </a:extLst>
        </xdr:cNvPr>
        <xdr:cNvSpPr txBox="1"/>
      </xdr:nvSpPr>
      <xdr:spPr>
        <a:xfrm>
          <a:off x="26611194" y="21389008"/>
          <a:ext cx="2580130" cy="640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nchorCtr="1">
          <a:spAutoFit/>
        </a:bodyPr>
        <a:lstStyle/>
        <a:p>
          <a:fld id="{F523516E-A4B7-47DC-9444-160F9067CCF7}" type="TxLink">
            <a:rPr lang="en-US" sz="3500" b="1" i="0" u="none" strike="noStrike">
              <a:solidFill>
                <a:schemeClr val="bg1"/>
              </a:solidFill>
              <a:latin typeface="Aptos Narrow"/>
            </a:rPr>
            <a:pPr/>
            <a:t>₹ 1,369,188</a:t>
          </a:fld>
          <a:endParaRPr lang="en-US" sz="3500" b="1" i="0" u="none" strike="noStrike">
            <a:solidFill>
              <a:schemeClr val="bg1"/>
            </a:solidFill>
            <a:latin typeface="Aptos Narrow"/>
          </a:endParaRPr>
        </a:p>
      </xdr:txBody>
    </xdr:sp>
    <xdr:clientData/>
  </xdr:oneCellAnchor>
  <xdr:twoCellAnchor>
    <xdr:from>
      <xdr:col>48</xdr:col>
      <xdr:colOff>5928</xdr:colOff>
      <xdr:row>89</xdr:row>
      <xdr:rowOff>0</xdr:rowOff>
    </xdr:from>
    <xdr:to>
      <xdr:col>55</xdr:col>
      <xdr:colOff>111569</xdr:colOff>
      <xdr:row>104</xdr:row>
      <xdr:rowOff>178178</xdr:rowOff>
    </xdr:to>
    <xdr:sp macro="" textlink="">
      <xdr:nvSpPr>
        <xdr:cNvPr id="10" name="Rectangle: Rounded Corners 9">
          <a:extLst>
            <a:ext uri="{FF2B5EF4-FFF2-40B4-BE49-F238E27FC236}">
              <a16:creationId xmlns:a16="http://schemas.microsoft.com/office/drawing/2014/main" id="{BE4158E4-154D-4568-B8E7-655FB80AC181}"/>
            </a:ext>
          </a:extLst>
        </xdr:cNvPr>
        <xdr:cNvSpPr/>
      </xdr:nvSpPr>
      <xdr:spPr>
        <a:xfrm>
          <a:off x="29020543" y="16302404"/>
          <a:ext cx="4336939" cy="2925774"/>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55</xdr:col>
      <xdr:colOff>334707</xdr:colOff>
      <xdr:row>89</xdr:row>
      <xdr:rowOff>43331</xdr:rowOff>
    </xdr:from>
    <xdr:to>
      <xdr:col>63</xdr:col>
      <xdr:colOff>18013</xdr:colOff>
      <xdr:row>105</xdr:row>
      <xdr:rowOff>15623</xdr:rowOff>
    </xdr:to>
    <xdr:sp macro="" textlink="">
      <xdr:nvSpPr>
        <xdr:cNvPr id="43" name="Rectangle: Rounded Corners 42">
          <a:extLst>
            <a:ext uri="{FF2B5EF4-FFF2-40B4-BE49-F238E27FC236}">
              <a16:creationId xmlns:a16="http://schemas.microsoft.com/office/drawing/2014/main" id="{AE1C793B-6D53-4052-BCBE-E25A2325787C}"/>
            </a:ext>
          </a:extLst>
        </xdr:cNvPr>
        <xdr:cNvSpPr/>
      </xdr:nvSpPr>
      <xdr:spPr>
        <a:xfrm>
          <a:off x="33580620" y="16345735"/>
          <a:ext cx="4519076" cy="2903061"/>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55</xdr:col>
      <xdr:colOff>259773</xdr:colOff>
      <xdr:row>106</xdr:row>
      <xdr:rowOff>36635</xdr:rowOff>
    </xdr:from>
    <xdr:to>
      <xdr:col>63</xdr:col>
      <xdr:colOff>8888</xdr:colOff>
      <xdr:row>119</xdr:row>
      <xdr:rowOff>42449</xdr:rowOff>
    </xdr:to>
    <xdr:sp macro="" textlink="">
      <xdr:nvSpPr>
        <xdr:cNvPr id="47" name="Rectangle: Rounded Corners 46">
          <a:extLst>
            <a:ext uri="{FF2B5EF4-FFF2-40B4-BE49-F238E27FC236}">
              <a16:creationId xmlns:a16="http://schemas.microsoft.com/office/drawing/2014/main" id="{6F256FA4-8A52-4A5F-8044-B33B17645302}"/>
            </a:ext>
          </a:extLst>
        </xdr:cNvPr>
        <xdr:cNvSpPr/>
      </xdr:nvSpPr>
      <xdr:spPr>
        <a:xfrm>
          <a:off x="33505686" y="19452981"/>
          <a:ext cx="4584885" cy="2387064"/>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48</xdr:col>
      <xdr:colOff>72966</xdr:colOff>
      <xdr:row>106</xdr:row>
      <xdr:rowOff>0</xdr:rowOff>
    </xdr:from>
    <xdr:to>
      <xdr:col>54</xdr:col>
      <xdr:colOff>550947</xdr:colOff>
      <xdr:row>118</xdr:row>
      <xdr:rowOff>172335</xdr:rowOff>
    </xdr:to>
    <xdr:sp macro="" textlink="">
      <xdr:nvSpPr>
        <xdr:cNvPr id="48" name="Rectangle: Rounded Corners 47">
          <a:extLst>
            <a:ext uri="{FF2B5EF4-FFF2-40B4-BE49-F238E27FC236}">
              <a16:creationId xmlns:a16="http://schemas.microsoft.com/office/drawing/2014/main" id="{C205799C-ABCD-47D6-A688-06097B20F334}"/>
            </a:ext>
          </a:extLst>
        </xdr:cNvPr>
        <xdr:cNvSpPr/>
      </xdr:nvSpPr>
      <xdr:spPr>
        <a:xfrm>
          <a:off x="29087581" y="19416346"/>
          <a:ext cx="4104808" cy="2370412"/>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xdr:col>
      <xdr:colOff>359086</xdr:colOff>
      <xdr:row>89</xdr:row>
      <xdr:rowOff>73269</xdr:rowOff>
    </xdr:from>
    <xdr:to>
      <xdr:col>55</xdr:col>
      <xdr:colOff>78531</xdr:colOff>
      <xdr:row>103</xdr:row>
      <xdr:rowOff>92086</xdr:rowOff>
    </xdr:to>
    <xdr:graphicFrame macro="">
      <xdr:nvGraphicFramePr>
        <xdr:cNvPr id="49" name="Chart 48">
          <a:extLst>
            <a:ext uri="{FF2B5EF4-FFF2-40B4-BE49-F238E27FC236}">
              <a16:creationId xmlns:a16="http://schemas.microsoft.com/office/drawing/2014/main" id="{0924E9A2-D3B7-4DD3-9521-03C5C9E2C2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54</xdr:col>
      <xdr:colOff>600559</xdr:colOff>
      <xdr:row>46</xdr:row>
      <xdr:rowOff>139646</xdr:rowOff>
    </xdr:from>
    <xdr:to>
      <xdr:col>61</xdr:col>
      <xdr:colOff>181458</xdr:colOff>
      <xdr:row>51</xdr:row>
      <xdr:rowOff>15874</xdr:rowOff>
    </xdr:to>
    <xdr:sp macro="" textlink="">
      <xdr:nvSpPr>
        <xdr:cNvPr id="50" name="TextBox 49">
          <a:extLst>
            <a:ext uri="{FF2B5EF4-FFF2-40B4-BE49-F238E27FC236}">
              <a16:creationId xmlns:a16="http://schemas.microsoft.com/office/drawing/2014/main" id="{7C288AF6-C532-4556-B010-97E110A762D5}"/>
            </a:ext>
          </a:extLst>
        </xdr:cNvPr>
        <xdr:cNvSpPr txBox="1"/>
      </xdr:nvSpPr>
      <xdr:spPr>
        <a:xfrm>
          <a:off x="33518959" y="8902646"/>
          <a:ext cx="3848099" cy="828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Regions</a:t>
          </a:r>
        </a:p>
      </xdr:txBody>
    </xdr:sp>
    <xdr:clientData/>
  </xdr:twoCellAnchor>
  <xdr:twoCellAnchor>
    <xdr:from>
      <xdr:col>54</xdr:col>
      <xdr:colOff>419584</xdr:colOff>
      <xdr:row>47</xdr:row>
      <xdr:rowOff>124040</xdr:rowOff>
    </xdr:from>
    <xdr:to>
      <xdr:col>55</xdr:col>
      <xdr:colOff>70335</xdr:colOff>
      <xdr:row>49</xdr:row>
      <xdr:rowOff>32019</xdr:rowOff>
    </xdr:to>
    <xdr:sp macro="" textlink="">
      <xdr:nvSpPr>
        <xdr:cNvPr id="52" name="Oval 51">
          <a:extLst>
            <a:ext uri="{FF2B5EF4-FFF2-40B4-BE49-F238E27FC236}">
              <a16:creationId xmlns:a16="http://schemas.microsoft.com/office/drawing/2014/main" id="{27F5816C-0A38-4B1E-9DE9-5D1147C851C9}"/>
            </a:ext>
          </a:extLst>
        </xdr:cNvPr>
        <xdr:cNvSpPr/>
      </xdr:nvSpPr>
      <xdr:spPr>
        <a:xfrm>
          <a:off x="33337984" y="9077540"/>
          <a:ext cx="260351" cy="288979"/>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54</xdr:col>
      <xdr:colOff>268637</xdr:colOff>
      <xdr:row>49</xdr:row>
      <xdr:rowOff>180858</xdr:rowOff>
    </xdr:from>
    <xdr:to>
      <xdr:col>66</xdr:col>
      <xdr:colOff>464809</xdr:colOff>
      <xdr:row>52</xdr:row>
      <xdr:rowOff>65868</xdr:rowOff>
    </xdr:to>
    <xdr:sp macro="" textlink="">
      <xdr:nvSpPr>
        <xdr:cNvPr id="62" name="TextBox 61">
          <a:extLst>
            <a:ext uri="{FF2B5EF4-FFF2-40B4-BE49-F238E27FC236}">
              <a16:creationId xmlns:a16="http://schemas.microsoft.com/office/drawing/2014/main" id="{FB73BD1C-2BD2-46B6-9B33-21475DB9DDD0}"/>
            </a:ext>
          </a:extLst>
        </xdr:cNvPr>
        <xdr:cNvSpPr txBox="1"/>
      </xdr:nvSpPr>
      <xdr:spPr>
        <a:xfrm>
          <a:off x="33187037" y="9515358"/>
          <a:ext cx="7511372" cy="456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500" b="1">
              <a:solidFill>
                <a:schemeClr val="bg1"/>
              </a:solidFill>
            </a:rPr>
            <a:t>Job roles by Regiom</a:t>
          </a:r>
        </a:p>
      </xdr:txBody>
    </xdr:sp>
    <xdr:clientData/>
  </xdr:twoCellAnchor>
  <xdr:twoCellAnchor>
    <xdr:from>
      <xdr:col>58</xdr:col>
      <xdr:colOff>394534</xdr:colOff>
      <xdr:row>91</xdr:row>
      <xdr:rowOff>92691</xdr:rowOff>
    </xdr:from>
    <xdr:to>
      <xdr:col>62</xdr:col>
      <xdr:colOff>108860</xdr:colOff>
      <xdr:row>100</xdr:row>
      <xdr:rowOff>38673</xdr:rowOff>
    </xdr:to>
    <xdr:sp macro="" textlink="Pivot!$D$16">
      <xdr:nvSpPr>
        <xdr:cNvPr id="64" name="TextBox 63">
          <a:extLst>
            <a:ext uri="{FF2B5EF4-FFF2-40B4-BE49-F238E27FC236}">
              <a16:creationId xmlns:a16="http://schemas.microsoft.com/office/drawing/2014/main" id="{34AC5BC6-11DD-444A-B42E-FC8779F18C07}"/>
            </a:ext>
          </a:extLst>
        </xdr:cNvPr>
        <xdr:cNvSpPr txBox="1"/>
      </xdr:nvSpPr>
      <xdr:spPr>
        <a:xfrm>
          <a:off x="35453861" y="16761441"/>
          <a:ext cx="2132211" cy="1594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D54CB82-F1A3-4E2E-9BFD-3B81FC5BEF12}" type="TxLink">
            <a:rPr lang="en-US" sz="10000" b="1" i="0" u="none" strike="noStrike">
              <a:solidFill>
                <a:schemeClr val="bg1"/>
              </a:solidFill>
              <a:latin typeface="Aptos Narrow"/>
            </a:rPr>
            <a:pPr algn="ctr"/>
            <a:t>41</a:t>
          </a:fld>
          <a:endParaRPr lang="en-US" sz="10000" b="1">
            <a:solidFill>
              <a:schemeClr val="bg1"/>
            </a:solidFill>
          </a:endParaRPr>
        </a:p>
      </xdr:txBody>
    </xdr:sp>
    <xdr:clientData/>
  </xdr:twoCellAnchor>
  <xdr:twoCellAnchor>
    <xdr:from>
      <xdr:col>56</xdr:col>
      <xdr:colOff>117224</xdr:colOff>
      <xdr:row>91</xdr:row>
      <xdr:rowOff>89033</xdr:rowOff>
    </xdr:from>
    <xdr:to>
      <xdr:col>61</xdr:col>
      <xdr:colOff>211188</xdr:colOff>
      <xdr:row>105</xdr:row>
      <xdr:rowOff>45256</xdr:rowOff>
    </xdr:to>
    <xdr:sp macro="" textlink="">
      <xdr:nvSpPr>
        <xdr:cNvPr id="66" name="TextBox 65">
          <a:extLst>
            <a:ext uri="{FF2B5EF4-FFF2-40B4-BE49-F238E27FC236}">
              <a16:creationId xmlns:a16="http://schemas.microsoft.com/office/drawing/2014/main" id="{201D3015-1E33-43E5-A6FB-426A2CA3EE87}"/>
            </a:ext>
          </a:extLst>
        </xdr:cNvPr>
        <xdr:cNvSpPr txBox="1"/>
      </xdr:nvSpPr>
      <xdr:spPr>
        <a:xfrm>
          <a:off x="34631342" y="17934401"/>
          <a:ext cx="3175581" cy="27016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500" b="1">
              <a:solidFill>
                <a:schemeClr val="bg1"/>
              </a:solidFill>
              <a:latin typeface="Aptos Display" panose="020B0004020202020204" pitchFamily="34" charset="0"/>
            </a:rPr>
            <a:t>Full </a:t>
          </a:r>
        </a:p>
        <a:p>
          <a:pPr algn="l"/>
          <a:r>
            <a:rPr lang="en-US" sz="4500" b="1">
              <a:solidFill>
                <a:schemeClr val="bg1"/>
              </a:solidFill>
              <a:latin typeface="Aptos Display" panose="020B0004020202020204" pitchFamily="34" charset="0"/>
            </a:rPr>
            <a:t>Time Employees</a:t>
          </a:r>
        </a:p>
      </xdr:txBody>
    </xdr:sp>
    <xdr:clientData/>
  </xdr:twoCellAnchor>
  <xdr:twoCellAnchor>
    <xdr:from>
      <xdr:col>50</xdr:col>
      <xdr:colOff>540532</xdr:colOff>
      <xdr:row>106</xdr:row>
      <xdr:rowOff>98301</xdr:rowOff>
    </xdr:from>
    <xdr:to>
      <xdr:col>54</xdr:col>
      <xdr:colOff>59980</xdr:colOff>
      <xdr:row>115</xdr:row>
      <xdr:rowOff>148750</xdr:rowOff>
    </xdr:to>
    <xdr:sp macro="" textlink="Pivot!D15">
      <xdr:nvSpPr>
        <xdr:cNvPr id="69" name="TextBox 68">
          <a:extLst>
            <a:ext uri="{FF2B5EF4-FFF2-40B4-BE49-F238E27FC236}">
              <a16:creationId xmlns:a16="http://schemas.microsoft.com/office/drawing/2014/main" id="{CEB2E1A9-E867-48D2-87FD-29C8FCBC6190}"/>
            </a:ext>
          </a:extLst>
        </xdr:cNvPr>
        <xdr:cNvSpPr txBox="1"/>
      </xdr:nvSpPr>
      <xdr:spPr>
        <a:xfrm>
          <a:off x="30764090" y="19514647"/>
          <a:ext cx="1937332" cy="16990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F2DD0C9-70A2-49DC-8D11-61276F7BF0FE}" type="TxLink">
            <a:rPr lang="en-US" sz="10000" b="1" i="0" u="none" strike="noStrike">
              <a:solidFill>
                <a:schemeClr val="bg1"/>
              </a:solidFill>
              <a:latin typeface="Aptos Narrow"/>
            </a:rPr>
            <a:pPr algn="ctr"/>
            <a:t>28</a:t>
          </a:fld>
          <a:endParaRPr lang="en-US" sz="10000" b="1">
            <a:solidFill>
              <a:schemeClr val="bg1"/>
            </a:solidFill>
          </a:endParaRPr>
        </a:p>
      </xdr:txBody>
    </xdr:sp>
    <xdr:clientData/>
  </xdr:twoCellAnchor>
  <xdr:twoCellAnchor>
    <xdr:from>
      <xdr:col>48</xdr:col>
      <xdr:colOff>383419</xdr:colOff>
      <xdr:row>106</xdr:row>
      <xdr:rowOff>80026</xdr:rowOff>
    </xdr:from>
    <xdr:to>
      <xdr:col>53</xdr:col>
      <xdr:colOff>364191</xdr:colOff>
      <xdr:row>119</xdr:row>
      <xdr:rowOff>86592</xdr:rowOff>
    </xdr:to>
    <xdr:sp macro="" textlink="">
      <xdr:nvSpPr>
        <xdr:cNvPr id="70" name="TextBox 69">
          <a:extLst>
            <a:ext uri="{FF2B5EF4-FFF2-40B4-BE49-F238E27FC236}">
              <a16:creationId xmlns:a16="http://schemas.microsoft.com/office/drawing/2014/main" id="{B91B62D9-ED03-4755-B993-A11D349270EA}"/>
            </a:ext>
          </a:extLst>
        </xdr:cNvPr>
        <xdr:cNvSpPr txBox="1"/>
      </xdr:nvSpPr>
      <xdr:spPr>
        <a:xfrm>
          <a:off x="29966948" y="20866938"/>
          <a:ext cx="3062390" cy="2555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500" b="1">
              <a:solidFill>
                <a:schemeClr val="bg1"/>
              </a:solidFill>
              <a:latin typeface="Aptos Display" panose="020B0004020202020204" pitchFamily="34" charset="0"/>
            </a:rPr>
            <a:t>Part</a:t>
          </a:r>
        </a:p>
        <a:p>
          <a:pPr algn="l"/>
          <a:r>
            <a:rPr lang="en-US" sz="4500" b="1">
              <a:solidFill>
                <a:schemeClr val="bg1"/>
              </a:solidFill>
              <a:latin typeface="Aptos Display" panose="020B0004020202020204" pitchFamily="34" charset="0"/>
            </a:rPr>
            <a:t>Time Employees</a:t>
          </a:r>
        </a:p>
      </xdr:txBody>
    </xdr:sp>
    <xdr:clientData/>
  </xdr:twoCellAnchor>
  <xdr:twoCellAnchor>
    <xdr:from>
      <xdr:col>59</xdr:col>
      <xdr:colOff>543551</xdr:colOff>
      <xdr:row>106</xdr:row>
      <xdr:rowOff>186903</xdr:rowOff>
    </xdr:from>
    <xdr:to>
      <xdr:col>63</xdr:col>
      <xdr:colOff>46289</xdr:colOff>
      <xdr:row>115</xdr:row>
      <xdr:rowOff>136296</xdr:rowOff>
    </xdr:to>
    <xdr:sp macro="" textlink="Pivot!D17">
      <xdr:nvSpPr>
        <xdr:cNvPr id="71" name="TextBox 70">
          <a:extLst>
            <a:ext uri="{FF2B5EF4-FFF2-40B4-BE49-F238E27FC236}">
              <a16:creationId xmlns:a16="http://schemas.microsoft.com/office/drawing/2014/main" id="{52AFF353-B0CB-4190-87B4-7D76BA06D6E6}"/>
            </a:ext>
          </a:extLst>
        </xdr:cNvPr>
        <xdr:cNvSpPr txBox="1"/>
      </xdr:nvSpPr>
      <xdr:spPr>
        <a:xfrm>
          <a:off x="36906639" y="20973815"/>
          <a:ext cx="1968032" cy="171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75460FD-8DD3-4A1E-9B92-9529526F2D85}" type="TxLink">
            <a:rPr lang="en-US" sz="10000" b="1" i="0" u="none" strike="noStrike">
              <a:solidFill>
                <a:schemeClr val="bg1"/>
              </a:solidFill>
              <a:latin typeface="Aptos Narrow"/>
            </a:rPr>
            <a:pPr algn="ctr"/>
            <a:t>31</a:t>
          </a:fld>
          <a:endParaRPr lang="en-US" sz="10000" b="1">
            <a:solidFill>
              <a:schemeClr val="bg1"/>
            </a:solidFill>
          </a:endParaRPr>
        </a:p>
      </xdr:txBody>
    </xdr:sp>
    <xdr:clientData/>
  </xdr:twoCellAnchor>
  <xdr:twoCellAnchor>
    <xdr:from>
      <xdr:col>55</xdr:col>
      <xdr:colOff>293881</xdr:colOff>
      <xdr:row>108</xdr:row>
      <xdr:rowOff>78259</xdr:rowOff>
    </xdr:from>
    <xdr:to>
      <xdr:col>60</xdr:col>
      <xdr:colOff>413886</xdr:colOff>
      <xdr:row>119</xdr:row>
      <xdr:rowOff>59532</xdr:rowOff>
    </xdr:to>
    <xdr:sp macro="" textlink="">
      <xdr:nvSpPr>
        <xdr:cNvPr id="72" name="TextBox 71">
          <a:extLst>
            <a:ext uri="{FF2B5EF4-FFF2-40B4-BE49-F238E27FC236}">
              <a16:creationId xmlns:a16="http://schemas.microsoft.com/office/drawing/2014/main" id="{ACB80BE9-914D-4971-95C7-7E1DE48CCB38}"/>
            </a:ext>
          </a:extLst>
        </xdr:cNvPr>
        <xdr:cNvSpPr txBox="1"/>
      </xdr:nvSpPr>
      <xdr:spPr>
        <a:xfrm>
          <a:off x="33036069" y="19366384"/>
          <a:ext cx="3096567" cy="1945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500" b="1">
              <a:solidFill>
                <a:schemeClr val="bg1"/>
              </a:solidFill>
              <a:latin typeface="Aptos Display" panose="020B0004020202020204" pitchFamily="34" charset="0"/>
            </a:rPr>
            <a:t>Contract Employees</a:t>
          </a:r>
        </a:p>
      </xdr:txBody>
    </xdr:sp>
    <xdr:clientData/>
  </xdr:twoCellAnchor>
  <xdr:twoCellAnchor>
    <xdr:from>
      <xdr:col>52</xdr:col>
      <xdr:colOff>467895</xdr:colOff>
      <xdr:row>54</xdr:row>
      <xdr:rowOff>101276</xdr:rowOff>
    </xdr:from>
    <xdr:to>
      <xdr:col>61</xdr:col>
      <xdr:colOff>318056</xdr:colOff>
      <xdr:row>78</xdr:row>
      <xdr:rowOff>128220</xdr:rowOff>
    </xdr:to>
    <xdr:graphicFrame macro="">
      <xdr:nvGraphicFramePr>
        <xdr:cNvPr id="73" name="Chart 72">
          <a:extLst>
            <a:ext uri="{FF2B5EF4-FFF2-40B4-BE49-F238E27FC236}">
              <a16:creationId xmlns:a16="http://schemas.microsoft.com/office/drawing/2014/main" id="{2DB2AC41-4E8C-4A8B-964D-59CFD2246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47</xdr:col>
      <xdr:colOff>542059</xdr:colOff>
      <xdr:row>83</xdr:row>
      <xdr:rowOff>85828</xdr:rowOff>
    </xdr:from>
    <xdr:to>
      <xdr:col>62</xdr:col>
      <xdr:colOff>586153</xdr:colOff>
      <xdr:row>87</xdr:row>
      <xdr:rowOff>146538</xdr:rowOff>
    </xdr:to>
    <xdr:sp macro="" textlink="">
      <xdr:nvSpPr>
        <xdr:cNvPr id="74" name="Rectangle: Rounded Corners 73">
          <a:extLst>
            <a:ext uri="{FF2B5EF4-FFF2-40B4-BE49-F238E27FC236}">
              <a16:creationId xmlns:a16="http://schemas.microsoft.com/office/drawing/2014/main" id="{EE194BC2-2563-4F22-A009-F4652C62287C}"/>
            </a:ext>
          </a:extLst>
        </xdr:cNvPr>
        <xdr:cNvSpPr/>
      </xdr:nvSpPr>
      <xdr:spPr>
        <a:xfrm>
          <a:off x="28952203" y="15289193"/>
          <a:ext cx="9111162" cy="793403"/>
        </a:xfrm>
        <a:prstGeom prst="roundRect">
          <a:avLst/>
        </a:prstGeom>
        <a:solidFill>
          <a:schemeClr val="bg2">
            <a:lumMod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48</xdr:col>
      <xdr:colOff>334867</xdr:colOff>
      <xdr:row>83</xdr:row>
      <xdr:rowOff>7303</xdr:rowOff>
    </xdr:from>
    <xdr:to>
      <xdr:col>63</xdr:col>
      <xdr:colOff>583864</xdr:colOff>
      <xdr:row>87</xdr:row>
      <xdr:rowOff>66703</xdr:rowOff>
    </xdr:to>
    <xdr:sp macro="" textlink="">
      <xdr:nvSpPr>
        <xdr:cNvPr id="75" name="TextBox 74">
          <a:extLst>
            <a:ext uri="{FF2B5EF4-FFF2-40B4-BE49-F238E27FC236}">
              <a16:creationId xmlns:a16="http://schemas.microsoft.com/office/drawing/2014/main" id="{F0257FE5-9782-43AC-9DB1-AF2AEB9DE1D1}"/>
            </a:ext>
          </a:extLst>
        </xdr:cNvPr>
        <xdr:cNvSpPr txBox="1"/>
      </xdr:nvSpPr>
      <xdr:spPr>
        <a:xfrm>
          <a:off x="28909867" y="14830584"/>
          <a:ext cx="9178685" cy="773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800" b="1">
              <a:solidFill>
                <a:srgbClr val="FFFF00"/>
              </a:solidFill>
            </a:rPr>
            <a:t>Employeement Status Breakdown</a:t>
          </a:r>
        </a:p>
      </xdr:txBody>
    </xdr:sp>
    <xdr:clientData/>
  </xdr:twoCellAnchor>
  <xdr:twoCellAnchor>
    <xdr:from>
      <xdr:col>48</xdr:col>
      <xdr:colOff>60015</xdr:colOff>
      <xdr:row>84</xdr:row>
      <xdr:rowOff>88322</xdr:rowOff>
    </xdr:from>
    <xdr:to>
      <xdr:col>48</xdr:col>
      <xdr:colOff>306079</xdr:colOff>
      <xdr:row>85</xdr:row>
      <xdr:rowOff>174895</xdr:rowOff>
    </xdr:to>
    <xdr:sp macro="" textlink="">
      <xdr:nvSpPr>
        <xdr:cNvPr id="76" name="Oval 75">
          <a:extLst>
            <a:ext uri="{FF2B5EF4-FFF2-40B4-BE49-F238E27FC236}">
              <a16:creationId xmlns:a16="http://schemas.microsoft.com/office/drawing/2014/main" id="{F20C500A-B789-48DE-BE2E-31840D97F487}"/>
            </a:ext>
          </a:extLst>
        </xdr:cNvPr>
        <xdr:cNvSpPr/>
      </xdr:nvSpPr>
      <xdr:spPr>
        <a:xfrm>
          <a:off x="28635015" y="15090197"/>
          <a:ext cx="246064" cy="265167"/>
        </a:xfrm>
        <a:prstGeom prst="ellipse">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165653</xdr:colOff>
      <xdr:row>24</xdr:row>
      <xdr:rowOff>124239</xdr:rowOff>
    </xdr:from>
    <xdr:to>
      <xdr:col>37</xdr:col>
      <xdr:colOff>423334</xdr:colOff>
      <xdr:row>28</xdr:row>
      <xdr:rowOff>45786</xdr:rowOff>
    </xdr:to>
    <mc:AlternateContent xmlns:mc="http://schemas.openxmlformats.org/markup-compatibility/2006" xmlns:a14="http://schemas.microsoft.com/office/drawing/2010/main">
      <mc:Choice Requires="a14">
        <xdr:graphicFrame macro="">
          <xdr:nvGraphicFramePr>
            <xdr:cNvPr id="8" name="Department 1">
              <a:extLst>
                <a:ext uri="{FF2B5EF4-FFF2-40B4-BE49-F238E27FC236}">
                  <a16:creationId xmlns:a16="http://schemas.microsoft.com/office/drawing/2014/main" id="{470D4CAE-8174-4C2D-95C9-CB889652899E}"/>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0285966" y="4410489"/>
              <a:ext cx="12163931" cy="6359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43</xdr:col>
      <xdr:colOff>406461</xdr:colOff>
      <xdr:row>24</xdr:row>
      <xdr:rowOff>124239</xdr:rowOff>
    </xdr:from>
    <xdr:to>
      <xdr:col>58</xdr:col>
      <xdr:colOff>404025</xdr:colOff>
      <xdr:row>28</xdr:row>
      <xdr:rowOff>45786</xdr:rowOff>
    </xdr:to>
    <mc:AlternateContent xmlns:mc="http://schemas.openxmlformats.org/markup-compatibility/2006" xmlns:a14="http://schemas.microsoft.com/office/drawing/2010/main">
      <mc:Choice Requires="a14">
        <xdr:graphicFrame macro="">
          <xdr:nvGraphicFramePr>
            <xdr:cNvPr id="9" name="Region 2">
              <a:extLst>
                <a:ext uri="{FF2B5EF4-FFF2-40B4-BE49-F238E27FC236}">
                  <a16:creationId xmlns:a16="http://schemas.microsoft.com/office/drawing/2014/main" id="{727C5E23-AF2A-47FC-B406-F3C2483C1E5C}"/>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6004899" y="4410489"/>
              <a:ext cx="8927251" cy="6359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368115</xdr:colOff>
      <xdr:row>24</xdr:row>
      <xdr:rowOff>124239</xdr:rowOff>
    </xdr:from>
    <xdr:to>
      <xdr:col>43</xdr:col>
      <xdr:colOff>529166</xdr:colOff>
      <xdr:row>28</xdr:row>
      <xdr:rowOff>45786</xdr:rowOff>
    </xdr:to>
    <mc:AlternateContent xmlns:mc="http://schemas.openxmlformats.org/markup-compatibility/2006" xmlns:a14="http://schemas.microsoft.com/office/drawing/2010/main">
      <mc:Choice Requires="a14">
        <xdr:graphicFrame macro="">
          <xdr:nvGraphicFramePr>
            <xdr:cNvPr id="11" name="Gender 2">
              <a:extLst>
                <a:ext uri="{FF2B5EF4-FFF2-40B4-BE49-F238E27FC236}">
                  <a16:creationId xmlns:a16="http://schemas.microsoft.com/office/drawing/2014/main" id="{52560192-6AA5-4D62-A762-3BF434A08360}"/>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22394678" y="4410489"/>
              <a:ext cx="3732926" cy="6359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59</xdr:col>
      <xdr:colOff>282223</xdr:colOff>
      <xdr:row>24</xdr:row>
      <xdr:rowOff>70556</xdr:rowOff>
    </xdr:from>
    <xdr:to>
      <xdr:col>62</xdr:col>
      <xdr:colOff>564444</xdr:colOff>
      <xdr:row>30</xdr:row>
      <xdr:rowOff>35277</xdr:rowOff>
    </xdr:to>
    <xdr:grpSp>
      <xdr:nvGrpSpPr>
        <xdr:cNvPr id="58" name="Group 57">
          <a:extLst>
            <a:ext uri="{FF2B5EF4-FFF2-40B4-BE49-F238E27FC236}">
              <a16:creationId xmlns:a16="http://schemas.microsoft.com/office/drawing/2014/main" id="{D33A7464-AF5A-1D32-33A6-C81A143C2145}"/>
            </a:ext>
          </a:extLst>
        </xdr:cNvPr>
        <xdr:cNvGrpSpPr/>
      </xdr:nvGrpSpPr>
      <xdr:grpSpPr>
        <a:xfrm>
          <a:off x="35405661" y="4356806"/>
          <a:ext cx="2068158" cy="1036284"/>
          <a:chOff x="35665834" y="4339168"/>
          <a:chExt cx="2222499" cy="749808"/>
        </a:xfrm>
      </xdr:grpSpPr>
      <xdr:pic>
        <xdr:nvPicPr>
          <xdr:cNvPr id="30" name="Graphic 29" descr="Arrow circle with solid fill">
            <a:extLst>
              <a:ext uri="{FF2B5EF4-FFF2-40B4-BE49-F238E27FC236}">
                <a16:creationId xmlns:a16="http://schemas.microsoft.com/office/drawing/2014/main" id="{8BADC528-8F08-F203-D97F-55C0D6C0F65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5665834" y="4339168"/>
            <a:ext cx="749808" cy="749808"/>
          </a:xfrm>
          <a:prstGeom prst="rect">
            <a:avLst/>
          </a:prstGeom>
        </xdr:spPr>
      </xdr:pic>
      <xdr:sp macro="[0]!Refresh_Dashboard" textlink="">
        <xdr:nvSpPr>
          <xdr:cNvPr id="42" name="TextBox 41">
            <a:extLst>
              <a:ext uri="{FF2B5EF4-FFF2-40B4-BE49-F238E27FC236}">
                <a16:creationId xmlns:a16="http://schemas.microsoft.com/office/drawing/2014/main" id="{8A17B587-3E2E-840E-A918-3E2643A6EEE7}"/>
              </a:ext>
            </a:extLst>
          </xdr:cNvPr>
          <xdr:cNvSpPr txBox="1"/>
        </xdr:nvSpPr>
        <xdr:spPr>
          <a:xfrm>
            <a:off x="36053889" y="4467128"/>
            <a:ext cx="1834444" cy="493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chemeClr val="bg1"/>
                </a:solidFill>
              </a:rPr>
              <a:t>Refresh</a:t>
            </a:r>
          </a:p>
        </xdr:txBody>
      </xdr:sp>
    </xdr:grpSp>
    <xdr:clientData/>
  </xdr:twoCellAnchor>
  <xdr:twoCellAnchor>
    <xdr:from>
      <xdr:col>37</xdr:col>
      <xdr:colOff>276709</xdr:colOff>
      <xdr:row>112</xdr:row>
      <xdr:rowOff>107896</xdr:rowOff>
    </xdr:from>
    <xdr:to>
      <xdr:col>43</xdr:col>
      <xdr:colOff>460858</xdr:colOff>
      <xdr:row>116</xdr:row>
      <xdr:rowOff>174624</xdr:rowOff>
    </xdr:to>
    <xdr:sp macro="" textlink="">
      <xdr:nvSpPr>
        <xdr:cNvPr id="2" name="TextBox 1">
          <a:extLst>
            <a:ext uri="{FF2B5EF4-FFF2-40B4-BE49-F238E27FC236}">
              <a16:creationId xmlns:a16="http://schemas.microsoft.com/office/drawing/2014/main" id="{5E56B6BF-8A04-4390-A11B-8511F99DE42C}"/>
            </a:ext>
          </a:extLst>
        </xdr:cNvPr>
        <xdr:cNvSpPr txBox="1"/>
      </xdr:nvSpPr>
      <xdr:spPr>
        <a:xfrm>
          <a:off x="22596959" y="21443896"/>
          <a:ext cx="3803649" cy="828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000" b="1">
              <a:solidFill>
                <a:srgbClr val="FFFF00"/>
              </a:solidFill>
            </a:rPr>
            <a:t>Total Salaries</a:t>
          </a:r>
        </a:p>
      </xdr:txBody>
    </xdr:sp>
    <xdr:clientData/>
  </xdr:twoCellAnchor>
  <xdr:twoCellAnchor>
    <xdr:from>
      <xdr:col>42</xdr:col>
      <xdr:colOff>370110</xdr:colOff>
      <xdr:row>112</xdr:row>
      <xdr:rowOff>187941</xdr:rowOff>
    </xdr:from>
    <xdr:to>
      <xdr:col>47</xdr:col>
      <xdr:colOff>63499</xdr:colOff>
      <xdr:row>116</xdr:row>
      <xdr:rowOff>95250</xdr:rowOff>
    </xdr:to>
    <xdr:sp macro="" textlink="Pivot!T17">
      <xdr:nvSpPr>
        <xdr:cNvPr id="12" name="TextBox 11">
          <a:extLst>
            <a:ext uri="{FF2B5EF4-FFF2-40B4-BE49-F238E27FC236}">
              <a16:creationId xmlns:a16="http://schemas.microsoft.com/office/drawing/2014/main" id="{1245C55F-0CC8-428C-845B-3520048661CA}"/>
            </a:ext>
          </a:extLst>
        </xdr:cNvPr>
        <xdr:cNvSpPr txBox="1"/>
      </xdr:nvSpPr>
      <xdr:spPr>
        <a:xfrm>
          <a:off x="25706610" y="21523941"/>
          <a:ext cx="2709639" cy="669309"/>
        </a:xfrm>
        <a:prstGeom prst="rect">
          <a:avLst/>
        </a:prstGeom>
        <a:solidFill>
          <a:schemeClr val="accent3">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9914A9B-4C9B-47EC-8815-205D9E4A592E}" type="TxLink">
            <a:rPr lang="en-US" sz="4000" b="1" i="0" u="none" strike="noStrike">
              <a:solidFill>
                <a:schemeClr val="bg1"/>
              </a:solidFill>
              <a:latin typeface="Aptos Narrow"/>
            </a:rPr>
            <a:t>₹ 6,334,341</a:t>
          </a:fld>
          <a:endParaRPr lang="en-US" sz="4000" b="1">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306.836823148151" createdVersion="8" refreshedVersion="8" minRefreshableVersion="3" recordCount="100" xr:uid="{FBE0EB06-6876-4D53-B333-42E448730B63}">
  <cacheSource type="worksheet">
    <worksheetSource name="HRData"/>
  </cacheSource>
  <cacheFields count="21">
    <cacheField name="Employee ID" numFmtId="0">
      <sharedItems containsSemiMixedTypes="0" containsString="0" containsNumber="1" containsInteger="1" minValue="10001" maxValue="10100"/>
    </cacheField>
    <cacheField name="Full Name" numFmtId="0">
      <sharedItems containsBlank="1"/>
    </cacheField>
    <cacheField name="Gender" numFmtId="0">
      <sharedItems count="2">
        <s v="Female"/>
        <s v="Male"/>
      </sharedItems>
    </cacheField>
    <cacheField name="Age" numFmtId="0">
      <sharedItems containsSemiMixedTypes="0" containsString="0" containsNumber="1" containsInteger="1" minValue="20" maxValue="60"/>
    </cacheField>
    <cacheField name="Age range" numFmtId="0">
      <sharedItems count="5">
        <s v="18-25"/>
        <s v="26-35"/>
        <s v="36-45"/>
        <s v="56 &lt;"/>
        <s v="46-55"/>
      </sharedItems>
    </cacheField>
    <cacheField name="Region" numFmtId="0">
      <sharedItems count="5">
        <s v="East"/>
        <s v="Central"/>
        <s v="West"/>
        <s v="South"/>
        <s v="North"/>
      </sharedItems>
    </cacheField>
    <cacheField name="Job Title" numFmtId="0">
      <sharedItems count="5">
        <s v="Manager"/>
        <s v="Designer"/>
        <s v="HR Specialist"/>
        <s v="Developer"/>
        <s v="Analyst"/>
      </sharedItems>
    </cacheField>
    <cacheField name="Department" numFmtId="0">
      <sharedItems count="5">
        <s v="Finance"/>
        <s v="HR"/>
        <s v="Marketing"/>
        <s v="Operations"/>
        <s v="IT"/>
      </sharedItems>
    </cacheField>
    <cacheField name="Manager/Supervisor" numFmtId="0">
      <sharedItems/>
    </cacheField>
    <cacheField name="Date of Hire" numFmtId="0">
      <sharedItems/>
    </cacheField>
    <cacheField name="Employment Status" numFmtId="0">
      <sharedItems count="3">
        <s v="Full-Time"/>
        <s v="Contract"/>
        <s v="Part-Time"/>
      </sharedItems>
    </cacheField>
    <cacheField name="Work Location" numFmtId="0">
      <sharedItems count="3">
        <s v="Head Office"/>
        <s v="Branch Office"/>
        <s v="Remote"/>
      </sharedItems>
    </cacheField>
    <cacheField name="Salary" numFmtId="0">
      <sharedItems containsSemiMixedTypes="0" containsString="0" containsNumber="1" containsInteger="1" minValue="30137" maxValue="98961"/>
    </cacheField>
    <cacheField name="Pay Grade" numFmtId="0">
      <sharedItems/>
    </cacheField>
    <cacheField name="Bonus/Allowances" numFmtId="0">
      <sharedItems containsSemiMixedTypes="0" containsString="0" containsNumber="1" containsInteger="1" minValue="1012" maxValue="9911"/>
    </cacheField>
    <cacheField name="Insurance Details" numFmtId="0">
      <sharedItems/>
    </cacheField>
    <cacheField name="Leave Taken" numFmtId="0">
      <sharedItems containsSemiMixedTypes="0" containsString="0" containsNumber="1" containsInteger="1" minValue="0" maxValue="20"/>
    </cacheField>
    <cacheField name="Performance Rating" numFmtId="0">
      <sharedItems containsSemiMixedTypes="0" containsString="0" containsNumber="1" containsInteger="1" minValue="1" maxValue="5"/>
    </cacheField>
    <cacheField name="Training Programs Attended" numFmtId="0">
      <sharedItems/>
    </cacheField>
    <cacheField name="Skills" numFmtId="0">
      <sharedItems count="5">
        <s v="Design"/>
        <s v="Management"/>
        <s v="Python"/>
        <s v="Communication"/>
        <s v="Excel"/>
      </sharedItems>
    </cacheField>
    <cacheField name="Certifications" numFmtId="0">
      <sharedItems/>
    </cacheField>
  </cacheFields>
  <extLst>
    <ext xmlns:x14="http://schemas.microsoft.com/office/spreadsheetml/2009/9/main" uri="{725AE2AE-9491-48be-B2B4-4EB974FC3084}">
      <x14:pivotCacheDefinition pivotCacheId="20389327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0001"/>
    <s v="Lori Nguyen"/>
    <x v="0"/>
    <n v="25"/>
    <x v="0"/>
    <x v="0"/>
    <x v="0"/>
    <x v="0"/>
    <s v="Luis Reynolds"/>
    <s v="2019-03-15"/>
    <x v="0"/>
    <x v="0"/>
    <n v="53700"/>
    <s v="C"/>
    <n v="1463"/>
    <s v="Health"/>
    <n v="1"/>
    <n v="1"/>
    <s v="Leadership Training"/>
    <x v="0"/>
    <s v="Certified Professional"/>
  </r>
  <r>
    <n v="10002"/>
    <s v="Gary Garcia"/>
    <x v="1"/>
    <n v="27"/>
    <x v="1"/>
    <x v="1"/>
    <x v="1"/>
    <x v="1"/>
    <s v="Ashley Simmons MD"/>
    <s v="2022-12-20"/>
    <x v="0"/>
    <x v="1"/>
    <n v="91091"/>
    <s v="B"/>
    <n v="1024"/>
    <s v="None"/>
    <n v="19"/>
    <n v="4"/>
    <s v="Excel Workshop"/>
    <x v="0"/>
    <s v="Certified Professional"/>
  </r>
  <r>
    <n v="10003"/>
    <s v="Jeremy Nguyen"/>
    <x v="1"/>
    <n v="34"/>
    <x v="1"/>
    <x v="2"/>
    <x v="2"/>
    <x v="2"/>
    <s v="Cassandra Duncan"/>
    <s v="2022-08-10"/>
    <x v="0"/>
    <x v="2"/>
    <n v="57538"/>
    <s v="D"/>
    <n v="1674"/>
    <s v="None"/>
    <n v="8"/>
    <n v="1"/>
    <s v="None"/>
    <x v="1"/>
    <s v="Advanced Training"/>
  </r>
  <r>
    <n v="10004"/>
    <s v="Kimberly Jones"/>
    <x v="0"/>
    <n v="41"/>
    <x v="2"/>
    <x v="2"/>
    <x v="0"/>
    <x v="3"/>
    <s v="Janet Harris"/>
    <s v="2024-09-03"/>
    <x v="1"/>
    <x v="0"/>
    <n v="62993"/>
    <s v="A"/>
    <n v="2695"/>
    <s v="Health + Dental"/>
    <n v="0"/>
    <n v="2"/>
    <s v="None"/>
    <x v="2"/>
    <s v="None"/>
  </r>
  <r>
    <n v="10005"/>
    <s v="Anthony Gates"/>
    <x v="1"/>
    <n v="56"/>
    <x v="3"/>
    <x v="0"/>
    <x v="0"/>
    <x v="2"/>
    <s v="Mr. Frank Clay"/>
    <s v="2019-03-14"/>
    <x v="1"/>
    <x v="1"/>
    <n v="45773"/>
    <s v="A"/>
    <n v="8776"/>
    <s v="Health"/>
    <n v="16"/>
    <n v="4"/>
    <s v="Leadership Training"/>
    <x v="2"/>
    <s v="None"/>
  </r>
  <r>
    <n v="10006"/>
    <s v="Courtney Foster"/>
    <x v="0"/>
    <n v="28"/>
    <x v="1"/>
    <x v="2"/>
    <x v="3"/>
    <x v="2"/>
    <s v="Dorothy Price"/>
    <s v="2017-01-23"/>
    <x v="0"/>
    <x v="1"/>
    <n v="96249"/>
    <s v="C"/>
    <n v="4826"/>
    <s v="Health + Dental"/>
    <n v="7"/>
    <n v="3"/>
    <s v="Leadership Training"/>
    <x v="3"/>
    <s v="Certified Professional"/>
  </r>
  <r>
    <n v="10007"/>
    <s v="Catherine Hall"/>
    <x v="0"/>
    <n v="20"/>
    <x v="0"/>
    <x v="1"/>
    <x v="2"/>
    <x v="2"/>
    <s v="Michele Sexton"/>
    <s v="2024-08-17"/>
    <x v="0"/>
    <x v="2"/>
    <n v="61596"/>
    <s v="C"/>
    <n v="8818"/>
    <s v="Health + Dental"/>
    <n v="4"/>
    <n v="2"/>
    <s v="Leadership Training"/>
    <x v="1"/>
    <s v="None"/>
  </r>
  <r>
    <n v="10008"/>
    <s v="Deanna Ball"/>
    <x v="0"/>
    <n v="58"/>
    <x v="3"/>
    <x v="3"/>
    <x v="1"/>
    <x v="4"/>
    <s v="Richard Schmidt"/>
    <s v="2014-12-09"/>
    <x v="0"/>
    <x v="2"/>
    <n v="97869"/>
    <s v="A"/>
    <n v="1966"/>
    <s v="Health"/>
    <n v="10"/>
    <n v="1"/>
    <s v="Leadership Training"/>
    <x v="0"/>
    <s v="Certified Professional"/>
  </r>
  <r>
    <n v="10009"/>
    <s v="Candace Nelson"/>
    <x v="0"/>
    <n v="44"/>
    <x v="2"/>
    <x v="3"/>
    <x v="2"/>
    <x v="2"/>
    <s v="Teresa Pearson"/>
    <s v="2021-06-28"/>
    <x v="0"/>
    <x v="0"/>
    <n v="81235"/>
    <s v="A"/>
    <n v="6553"/>
    <s v="None"/>
    <n v="16"/>
    <n v="2"/>
    <s v="None"/>
    <x v="1"/>
    <s v="Certified Professional"/>
  </r>
  <r>
    <n v="10010"/>
    <s v="Mandy Davis"/>
    <x v="0"/>
    <n v="29"/>
    <x v="1"/>
    <x v="1"/>
    <x v="2"/>
    <x v="3"/>
    <s v="Laura Hart"/>
    <s v="2018-05-20"/>
    <x v="0"/>
    <x v="1"/>
    <n v="87852"/>
    <s v="A"/>
    <n v="4980"/>
    <s v="Health + Dental"/>
    <n v="19"/>
    <n v="3"/>
    <s v="None"/>
    <x v="2"/>
    <s v="Certified Professional"/>
  </r>
  <r>
    <n v="10011"/>
    <s v="Matthew Powell"/>
    <x v="1"/>
    <n v="23"/>
    <x v="0"/>
    <x v="3"/>
    <x v="0"/>
    <x v="2"/>
    <s v="Andrea May"/>
    <s v="2017-02-13"/>
    <x v="1"/>
    <x v="1"/>
    <n v="59359"/>
    <s v="A"/>
    <n v="9449"/>
    <s v="Health + Dental"/>
    <n v="20"/>
    <n v="3"/>
    <s v="None"/>
    <x v="1"/>
    <s v="None"/>
  </r>
  <r>
    <n v="10012"/>
    <s v="Bruce Nelson"/>
    <x v="1"/>
    <n v="30"/>
    <x v="1"/>
    <x v="0"/>
    <x v="1"/>
    <x v="0"/>
    <s v="Casey Martin"/>
    <s v="2024-05-05"/>
    <x v="1"/>
    <x v="2"/>
    <n v="81225"/>
    <s v="D"/>
    <n v="6202"/>
    <s v="Health + Dental"/>
    <n v="2"/>
    <n v="2"/>
    <s v="Excel Workshop"/>
    <x v="4"/>
    <s v="Certified Professional"/>
  </r>
  <r>
    <n v="10013"/>
    <s v="Dawn Cole"/>
    <x v="0"/>
    <n v="49"/>
    <x v="4"/>
    <x v="1"/>
    <x v="0"/>
    <x v="0"/>
    <s v="Amber Allen"/>
    <s v="2022-04-19"/>
    <x v="1"/>
    <x v="0"/>
    <n v="32788"/>
    <s v="D"/>
    <n v="4396"/>
    <s v="Health"/>
    <n v="13"/>
    <n v="5"/>
    <s v="None"/>
    <x v="3"/>
    <s v="Advanced Training"/>
  </r>
  <r>
    <n v="10014"/>
    <s v="Tanner Morse"/>
    <x v="1"/>
    <n v="60"/>
    <x v="3"/>
    <x v="4"/>
    <x v="0"/>
    <x v="3"/>
    <s v="Adam Johnson"/>
    <s v="2015-11-16"/>
    <x v="1"/>
    <x v="2"/>
    <n v="70452"/>
    <s v="D"/>
    <n v="9911"/>
    <s v="None"/>
    <n v="2"/>
    <n v="1"/>
    <s v="None"/>
    <x v="3"/>
    <s v="Certified Professional"/>
  </r>
  <r>
    <n v="10015"/>
    <s v="Jose Griffin"/>
    <x v="1"/>
    <n v="46"/>
    <x v="4"/>
    <x v="1"/>
    <x v="3"/>
    <x v="0"/>
    <s v="Nicole Dominguez"/>
    <s v="2023-09-09"/>
    <x v="0"/>
    <x v="1"/>
    <n v="33045"/>
    <s v="B"/>
    <n v="1456"/>
    <s v="None"/>
    <n v="16"/>
    <n v="3"/>
    <s v="Excel Workshop"/>
    <x v="3"/>
    <s v="None"/>
  </r>
  <r>
    <n v="10016"/>
    <s v="Daniel Hawkins"/>
    <x v="1"/>
    <n v="57"/>
    <x v="3"/>
    <x v="2"/>
    <x v="3"/>
    <x v="1"/>
    <s v="Andrew Best"/>
    <s v="2017-12-12"/>
    <x v="2"/>
    <x v="2"/>
    <n v="96429"/>
    <s v="C"/>
    <n v="4740"/>
    <s v="None"/>
    <n v="8"/>
    <n v="1"/>
    <s v="Excel Workshop"/>
    <x v="2"/>
    <s v="None"/>
  </r>
  <r>
    <n v="10017"/>
    <s v="Elaine Mcclain"/>
    <x v="0"/>
    <n v="24"/>
    <x v="0"/>
    <x v="1"/>
    <x v="2"/>
    <x v="2"/>
    <s v="Gabrielle Rodriguez"/>
    <s v="2017-03-10"/>
    <x v="2"/>
    <x v="2"/>
    <n v="33183"/>
    <s v="A"/>
    <n v="8114"/>
    <s v="None"/>
    <n v="4"/>
    <n v="2"/>
    <s v="Excel Workshop"/>
    <x v="4"/>
    <s v="Advanced Training"/>
  </r>
  <r>
    <n v="10018"/>
    <s v="Kimberly Jones"/>
    <x v="0"/>
    <n v="35"/>
    <x v="1"/>
    <x v="4"/>
    <x v="3"/>
    <x v="0"/>
    <s v="Allison Harvey"/>
    <s v="2019-03-04"/>
    <x v="2"/>
    <x v="0"/>
    <n v="75065"/>
    <s v="C"/>
    <n v="7123"/>
    <s v="None"/>
    <n v="20"/>
    <n v="2"/>
    <s v="None"/>
    <x v="0"/>
    <s v="Advanced Training"/>
  </r>
  <r>
    <n v="10019"/>
    <s v="Thomas Kramer"/>
    <x v="1"/>
    <n v="41"/>
    <x v="2"/>
    <x v="1"/>
    <x v="1"/>
    <x v="4"/>
    <s v="Tristan Mejia"/>
    <s v="2022-11-20"/>
    <x v="0"/>
    <x v="2"/>
    <n v="32877"/>
    <s v="C"/>
    <n v="6432"/>
    <s v="Health"/>
    <n v="11"/>
    <n v="1"/>
    <s v="None"/>
    <x v="0"/>
    <s v="None"/>
  </r>
  <r>
    <n v="10020"/>
    <s v="Kevin Whitaker"/>
    <x v="1"/>
    <n v="36"/>
    <x v="2"/>
    <x v="1"/>
    <x v="4"/>
    <x v="3"/>
    <s v="Mary Welch"/>
    <s v="2021-03-02"/>
    <x v="0"/>
    <x v="1"/>
    <n v="46811"/>
    <s v="D"/>
    <n v="1567"/>
    <s v="None"/>
    <n v="7"/>
    <n v="3"/>
    <s v="Excel Workshop"/>
    <x v="0"/>
    <s v="Advanced Training"/>
  </r>
  <r>
    <n v="10021"/>
    <s v="Dustin Carter"/>
    <x v="1"/>
    <n v="31"/>
    <x v="1"/>
    <x v="3"/>
    <x v="2"/>
    <x v="1"/>
    <s v="Douglas Miles"/>
    <s v="2021-08-01"/>
    <x v="1"/>
    <x v="1"/>
    <n v="87538"/>
    <s v="C"/>
    <n v="3588"/>
    <s v="Health + Dental"/>
    <n v="11"/>
    <n v="5"/>
    <s v="Excel Workshop"/>
    <x v="2"/>
    <s v="None"/>
  </r>
  <r>
    <n v="10022"/>
    <s v="Nicole Williamson"/>
    <x v="0"/>
    <n v="28"/>
    <x v="1"/>
    <x v="0"/>
    <x v="1"/>
    <x v="4"/>
    <s v="Jessica Fleming"/>
    <s v="2015-08-14"/>
    <x v="0"/>
    <x v="1"/>
    <n v="73002"/>
    <s v="C"/>
    <n v="6296"/>
    <s v="Health"/>
    <n v="2"/>
    <n v="5"/>
    <s v="Excel Workshop"/>
    <x v="1"/>
    <s v="Certified Professional"/>
  </r>
  <r>
    <n v="10023"/>
    <s v="Matthew Knight"/>
    <x v="1"/>
    <n v="37"/>
    <x v="2"/>
    <x v="3"/>
    <x v="1"/>
    <x v="3"/>
    <s v="Christine Lee"/>
    <s v="2015-10-21"/>
    <x v="2"/>
    <x v="2"/>
    <n v="41653"/>
    <s v="D"/>
    <n v="9236"/>
    <s v="None"/>
    <n v="13"/>
    <n v="1"/>
    <s v="Excel Workshop"/>
    <x v="0"/>
    <s v="None"/>
  </r>
  <r>
    <n v="10024"/>
    <s v="Donna Jones"/>
    <x v="0"/>
    <n v="31"/>
    <x v="1"/>
    <x v="0"/>
    <x v="0"/>
    <x v="2"/>
    <s v="Mario Smith DVM"/>
    <s v="2015-03-14"/>
    <x v="1"/>
    <x v="1"/>
    <n v="67582"/>
    <s v="A"/>
    <n v="1375"/>
    <s v="Health"/>
    <n v="20"/>
    <n v="3"/>
    <s v="Excel Workshop"/>
    <x v="1"/>
    <s v="None"/>
  </r>
  <r>
    <n v="10025"/>
    <s v="Carolyn Bullock"/>
    <x v="0"/>
    <n v="23"/>
    <x v="0"/>
    <x v="3"/>
    <x v="1"/>
    <x v="1"/>
    <s v="Joseph Francis"/>
    <s v="2024-05-22"/>
    <x v="2"/>
    <x v="1"/>
    <n v="37351"/>
    <s v="D"/>
    <n v="7858"/>
    <s v="Health + Dental"/>
    <n v="18"/>
    <n v="2"/>
    <s v="Leadership Training"/>
    <x v="1"/>
    <s v="Advanced Training"/>
  </r>
  <r>
    <n v="10026"/>
    <s v="Wendy Gomez"/>
    <x v="0"/>
    <n v="48"/>
    <x v="4"/>
    <x v="4"/>
    <x v="2"/>
    <x v="0"/>
    <s v="Sarah Young"/>
    <s v="2017-03-19"/>
    <x v="0"/>
    <x v="1"/>
    <n v="36721"/>
    <s v="B"/>
    <n v="8820"/>
    <s v="Health + Dental"/>
    <n v="0"/>
    <n v="2"/>
    <s v="Excel Workshop"/>
    <x v="1"/>
    <s v="Certified Professional"/>
  </r>
  <r>
    <n v="10027"/>
    <s v="Michael Thomas"/>
    <x v="1"/>
    <n v="28"/>
    <x v="1"/>
    <x v="2"/>
    <x v="4"/>
    <x v="0"/>
    <s v="Aaron Hart"/>
    <s v="2021-09-15"/>
    <x v="1"/>
    <x v="2"/>
    <n v="46326"/>
    <s v="B"/>
    <n v="9189"/>
    <s v="Health + Dental"/>
    <n v="8"/>
    <n v="4"/>
    <s v="Leadership Training"/>
    <x v="3"/>
    <s v="Advanced Training"/>
  </r>
  <r>
    <n v="10028"/>
    <s v="Kevin Bell"/>
    <x v="1"/>
    <n v="30"/>
    <x v="1"/>
    <x v="1"/>
    <x v="3"/>
    <x v="1"/>
    <s v="Brian Boyd"/>
    <s v="2022-05-09"/>
    <x v="0"/>
    <x v="0"/>
    <n v="59007"/>
    <s v="C"/>
    <n v="3380"/>
    <s v="Health"/>
    <n v="17"/>
    <n v="3"/>
    <s v="None"/>
    <x v="4"/>
    <s v="Certified Professional"/>
  </r>
  <r>
    <n v="10029"/>
    <s v="Richard Landry"/>
    <x v="1"/>
    <n v="46"/>
    <x v="4"/>
    <x v="3"/>
    <x v="0"/>
    <x v="3"/>
    <s v="Steven Krueger"/>
    <s v="2017-06-22"/>
    <x v="0"/>
    <x v="1"/>
    <n v="52020"/>
    <s v="B"/>
    <n v="9585"/>
    <s v="Health + Dental"/>
    <n v="0"/>
    <n v="4"/>
    <s v="Excel Workshop"/>
    <x v="4"/>
    <s v="None"/>
  </r>
  <r>
    <n v="10030"/>
    <s v="George Hurley"/>
    <x v="1"/>
    <n v="44"/>
    <x v="2"/>
    <x v="1"/>
    <x v="2"/>
    <x v="1"/>
    <s v="Debra Williams"/>
    <s v="2020-11-28"/>
    <x v="2"/>
    <x v="1"/>
    <n v="98961"/>
    <s v="D"/>
    <n v="2688"/>
    <s v="Health"/>
    <n v="2"/>
    <n v="5"/>
    <s v="Excel Workshop"/>
    <x v="4"/>
    <s v="Certified Professional"/>
  </r>
  <r>
    <n v="10031"/>
    <s v="Mark Lopez"/>
    <x v="1"/>
    <n v="45"/>
    <x v="2"/>
    <x v="2"/>
    <x v="3"/>
    <x v="2"/>
    <s v="Karen Mitchell"/>
    <s v="2015-08-30"/>
    <x v="2"/>
    <x v="1"/>
    <n v="81943"/>
    <s v="C"/>
    <n v="2255"/>
    <s v="Health"/>
    <n v="18"/>
    <n v="2"/>
    <s v="None"/>
    <x v="2"/>
    <s v="Certified Professional"/>
  </r>
  <r>
    <n v="10032"/>
    <s v="Robert Williams"/>
    <x v="1"/>
    <n v="52"/>
    <x v="4"/>
    <x v="4"/>
    <x v="2"/>
    <x v="1"/>
    <s v="Joseph Sanders"/>
    <s v="2018-10-27"/>
    <x v="2"/>
    <x v="1"/>
    <n v="47627"/>
    <s v="C"/>
    <n v="1221"/>
    <s v="None"/>
    <n v="4"/>
    <n v="3"/>
    <s v="None"/>
    <x v="1"/>
    <s v="None"/>
  </r>
  <r>
    <n v="10033"/>
    <s v="Mary Schmidt"/>
    <x v="0"/>
    <n v="52"/>
    <x v="4"/>
    <x v="0"/>
    <x v="0"/>
    <x v="4"/>
    <s v="Shelly George"/>
    <s v="2018-08-26"/>
    <x v="2"/>
    <x v="1"/>
    <n v="56162"/>
    <s v="D"/>
    <n v="6560"/>
    <s v="Health + Dental"/>
    <n v="9"/>
    <n v="4"/>
    <s v="Excel Workshop"/>
    <x v="3"/>
    <s v="None"/>
  </r>
  <r>
    <n v="10034"/>
    <s v="Mary Martinez"/>
    <x v="0"/>
    <n v="42"/>
    <x v="2"/>
    <x v="1"/>
    <x v="2"/>
    <x v="2"/>
    <s v="Nicole Houston"/>
    <s v="2023-07-24"/>
    <x v="1"/>
    <x v="2"/>
    <n v="95734"/>
    <s v="C"/>
    <n v="4854"/>
    <s v="Health"/>
    <n v="13"/>
    <n v="2"/>
    <s v="Leadership Training"/>
    <x v="0"/>
    <s v="Certified Professional"/>
  </r>
  <r>
    <n v="10035"/>
    <s v="Paul Hall"/>
    <x v="1"/>
    <n v="58"/>
    <x v="3"/>
    <x v="1"/>
    <x v="1"/>
    <x v="3"/>
    <s v="Kristin Shaffer"/>
    <s v="2018-07-09"/>
    <x v="1"/>
    <x v="2"/>
    <n v="74789"/>
    <s v="C"/>
    <n v="8101"/>
    <s v="Health + Dental"/>
    <n v="14"/>
    <n v="5"/>
    <s v="Excel Workshop"/>
    <x v="2"/>
    <s v="None"/>
  </r>
  <r>
    <n v="10036"/>
    <s v="Samantha Foster"/>
    <x v="0"/>
    <n v="24"/>
    <x v="0"/>
    <x v="4"/>
    <x v="0"/>
    <x v="3"/>
    <s v="Joel Aguilar"/>
    <s v="2016-12-21"/>
    <x v="0"/>
    <x v="2"/>
    <n v="30137"/>
    <s v="B"/>
    <n v="4031"/>
    <s v="None"/>
    <n v="5"/>
    <n v="3"/>
    <s v="None"/>
    <x v="1"/>
    <s v="Certified Professional"/>
  </r>
  <r>
    <n v="10037"/>
    <s v="Timothy Aguilar"/>
    <x v="1"/>
    <n v="21"/>
    <x v="0"/>
    <x v="1"/>
    <x v="0"/>
    <x v="0"/>
    <s v="Michael Wade"/>
    <s v="2019-06-27"/>
    <x v="0"/>
    <x v="2"/>
    <n v="95510"/>
    <s v="C"/>
    <n v="6811"/>
    <s v="Health"/>
    <n v="18"/>
    <n v="4"/>
    <s v="Excel Workshop"/>
    <x v="4"/>
    <s v="Certified Professional"/>
  </r>
  <r>
    <n v="10038"/>
    <s v="Charles Andrews"/>
    <x v="1"/>
    <n v="58"/>
    <x v="3"/>
    <x v="1"/>
    <x v="3"/>
    <x v="0"/>
    <s v="Jessica Walsh"/>
    <s v="2021-08-27"/>
    <x v="1"/>
    <x v="0"/>
    <n v="80325"/>
    <s v="B"/>
    <n v="6230"/>
    <s v="Health"/>
    <n v="5"/>
    <n v="4"/>
    <s v="None"/>
    <x v="2"/>
    <s v="Advanced Training"/>
  </r>
  <r>
    <n v="10039"/>
    <s v="Veronica Nelson"/>
    <x v="0"/>
    <n v="57"/>
    <x v="3"/>
    <x v="3"/>
    <x v="4"/>
    <x v="4"/>
    <s v="Kelly Mack"/>
    <s v="2017-05-28"/>
    <x v="2"/>
    <x v="1"/>
    <n v="34109"/>
    <s v="B"/>
    <n v="9232"/>
    <s v="Health"/>
    <n v="13"/>
    <n v="3"/>
    <s v="Leadership Training"/>
    <x v="0"/>
    <s v="Certified Professional"/>
  </r>
  <r>
    <n v="10040"/>
    <s v="Chris Sanchez"/>
    <x v="1"/>
    <n v="41"/>
    <x v="2"/>
    <x v="3"/>
    <x v="3"/>
    <x v="0"/>
    <s v="John Conley"/>
    <s v="2022-01-30"/>
    <x v="2"/>
    <x v="2"/>
    <n v="73330"/>
    <s v="C"/>
    <n v="2276"/>
    <s v="Health + Dental"/>
    <n v="5"/>
    <n v="1"/>
    <s v="None"/>
    <x v="1"/>
    <s v="Advanced Training"/>
  </r>
  <r>
    <n v="10041"/>
    <s v="Cassie Galvan"/>
    <x v="0"/>
    <n v="58"/>
    <x v="3"/>
    <x v="2"/>
    <x v="2"/>
    <x v="1"/>
    <s v="Aaron Baker"/>
    <s v="2017-04-20"/>
    <x v="1"/>
    <x v="2"/>
    <n v="46567"/>
    <s v="A"/>
    <n v="2825"/>
    <s v="Health"/>
    <n v="15"/>
    <n v="3"/>
    <s v="None"/>
    <x v="4"/>
    <s v="Advanced Training"/>
  </r>
  <r>
    <n v="10042"/>
    <s v="Jessica Jones"/>
    <x v="0"/>
    <n v="36"/>
    <x v="2"/>
    <x v="0"/>
    <x v="4"/>
    <x v="0"/>
    <s v="Christopher Bass"/>
    <s v="2019-07-22"/>
    <x v="1"/>
    <x v="1"/>
    <n v="39795"/>
    <s v="A"/>
    <n v="1670"/>
    <s v="None"/>
    <n v="0"/>
    <n v="2"/>
    <s v="Excel Workshop"/>
    <x v="3"/>
    <s v="None"/>
  </r>
  <r>
    <n v="10043"/>
    <s v="Emily Walker"/>
    <x v="0"/>
    <n v="21"/>
    <x v="0"/>
    <x v="0"/>
    <x v="0"/>
    <x v="4"/>
    <s v="Sean Tucker PhD"/>
    <s v="2018-11-29"/>
    <x v="1"/>
    <x v="2"/>
    <n v="59506"/>
    <s v="A"/>
    <n v="4428"/>
    <s v="Health + Dental"/>
    <n v="0"/>
    <n v="1"/>
    <s v="None"/>
    <x v="3"/>
    <s v="Certified Professional"/>
  </r>
  <r>
    <n v="10044"/>
    <s v="Vickie Lewis"/>
    <x v="0"/>
    <n v="46"/>
    <x v="4"/>
    <x v="2"/>
    <x v="1"/>
    <x v="4"/>
    <s v="Jacob Scott"/>
    <s v="2022-11-14"/>
    <x v="1"/>
    <x v="2"/>
    <n v="49058"/>
    <s v="B"/>
    <n v="4396"/>
    <s v="None"/>
    <n v="5"/>
    <n v="1"/>
    <s v="None"/>
    <x v="3"/>
    <s v="None"/>
  </r>
  <r>
    <n v="10045"/>
    <s v="Alexis Clark"/>
    <x v="0"/>
    <n v="36"/>
    <x v="2"/>
    <x v="3"/>
    <x v="2"/>
    <x v="4"/>
    <s v="Joel Park"/>
    <s v="2016-02-23"/>
    <x v="1"/>
    <x v="0"/>
    <n v="98612"/>
    <s v="A"/>
    <n v="1168"/>
    <s v="None"/>
    <n v="9"/>
    <n v="2"/>
    <s v="Excel Workshop"/>
    <x v="0"/>
    <s v="Certified Professional"/>
  </r>
  <r>
    <n v="10046"/>
    <s v="Robert Davis"/>
    <x v="1"/>
    <n v="41"/>
    <x v="2"/>
    <x v="4"/>
    <x v="3"/>
    <x v="1"/>
    <s v="Russell Marshall"/>
    <s v="2018-05-18"/>
    <x v="2"/>
    <x v="1"/>
    <n v="38201"/>
    <s v="A"/>
    <n v="7111"/>
    <s v="Health"/>
    <n v="8"/>
    <n v="4"/>
    <s v="Leadership Training"/>
    <x v="3"/>
    <s v="None"/>
  </r>
  <r>
    <n v="10047"/>
    <s v="Daniel Brown MD"/>
    <x v="1"/>
    <n v="25"/>
    <x v="0"/>
    <x v="0"/>
    <x v="2"/>
    <x v="2"/>
    <s v="James Holden"/>
    <s v="2024-03-09"/>
    <x v="2"/>
    <x v="1"/>
    <n v="92919"/>
    <s v="D"/>
    <n v="9497"/>
    <s v="Health"/>
    <n v="7"/>
    <n v="2"/>
    <s v="None"/>
    <x v="3"/>
    <s v="Advanced Training"/>
  </r>
  <r>
    <n v="10048"/>
    <s v="Anna Payne"/>
    <x v="0"/>
    <n v="29"/>
    <x v="1"/>
    <x v="4"/>
    <x v="0"/>
    <x v="1"/>
    <s v="Thomas Murphy"/>
    <s v="2024-03-27"/>
    <x v="0"/>
    <x v="2"/>
    <n v="45188"/>
    <s v="A"/>
    <n v="9591"/>
    <s v="Health + Dental"/>
    <n v="18"/>
    <n v="3"/>
    <s v="Leadership Training"/>
    <x v="3"/>
    <s v="None"/>
  </r>
  <r>
    <n v="10049"/>
    <s v="Rhonda Pena"/>
    <x v="0"/>
    <n v="59"/>
    <x v="3"/>
    <x v="2"/>
    <x v="1"/>
    <x v="0"/>
    <s v="Mark Abbott"/>
    <s v="2019-12-23"/>
    <x v="0"/>
    <x v="1"/>
    <n v="34927"/>
    <s v="D"/>
    <n v="6996"/>
    <s v="Health + Dental"/>
    <n v="16"/>
    <n v="1"/>
    <s v="Excel Workshop"/>
    <x v="0"/>
    <s v="Certified Professional"/>
  </r>
  <r>
    <n v="10050"/>
    <m/>
    <x v="0"/>
    <n v="27"/>
    <x v="1"/>
    <x v="0"/>
    <x v="2"/>
    <x v="3"/>
    <s v="Robin Lynch"/>
    <s v="2016-08-25"/>
    <x v="0"/>
    <x v="1"/>
    <n v="33183"/>
    <s v="A"/>
    <n v="1659"/>
    <s v="None"/>
    <n v="11"/>
    <n v="1"/>
    <s v="Leadership Training"/>
    <x v="2"/>
    <s v="None"/>
  </r>
  <r>
    <n v="10051"/>
    <s v="Henry Taylor"/>
    <x v="0"/>
    <n v="58"/>
    <x v="3"/>
    <x v="1"/>
    <x v="2"/>
    <x v="4"/>
    <s v="Michael Scott"/>
    <s v="2021-05-30"/>
    <x v="2"/>
    <x v="0"/>
    <n v="69488"/>
    <s v="D"/>
    <n v="8580"/>
    <s v="Health + Dental"/>
    <n v="17"/>
    <n v="4"/>
    <s v="Excel Workshop"/>
    <x v="3"/>
    <s v="Advanced Training"/>
  </r>
  <r>
    <n v="10052"/>
    <s v="Grace Lewis"/>
    <x v="0"/>
    <n v="30"/>
    <x v="1"/>
    <x v="3"/>
    <x v="0"/>
    <x v="2"/>
    <s v="Michael Scott"/>
    <s v="2017-01-24"/>
    <x v="0"/>
    <x v="0"/>
    <n v="91851"/>
    <s v="A"/>
    <n v="2168"/>
    <s v="None"/>
    <n v="18"/>
    <n v="5"/>
    <s v="Excel Workshop"/>
    <x v="1"/>
    <s v="Certified Professional"/>
  </r>
  <r>
    <n v="10053"/>
    <s v="Ava King"/>
    <x v="0"/>
    <n v="48"/>
    <x v="4"/>
    <x v="3"/>
    <x v="2"/>
    <x v="1"/>
    <s v="Sarah Adams"/>
    <s v="2021-03-13"/>
    <x v="0"/>
    <x v="2"/>
    <n v="51460"/>
    <s v="C"/>
    <n v="8859"/>
    <s v="Health"/>
    <n v="7"/>
    <n v="4"/>
    <s v="Excel Workshop"/>
    <x v="1"/>
    <s v="Advanced Training"/>
  </r>
  <r>
    <n v="10054"/>
    <s v="Sophia Thomas"/>
    <x v="1"/>
    <n v="39"/>
    <x v="2"/>
    <x v="4"/>
    <x v="2"/>
    <x v="2"/>
    <s v="Robert King"/>
    <s v="2017-08-02"/>
    <x v="0"/>
    <x v="1"/>
    <n v="84341"/>
    <s v="B"/>
    <n v="3800"/>
    <s v="Health + Dental"/>
    <n v="3"/>
    <n v="5"/>
    <s v="Leadership Training"/>
    <x v="4"/>
    <s v="Certified Professional"/>
  </r>
  <r>
    <n v="10055"/>
    <s v="Grace Young"/>
    <x v="0"/>
    <n v="33"/>
    <x v="1"/>
    <x v="4"/>
    <x v="1"/>
    <x v="3"/>
    <s v="Robert King"/>
    <s v="2017-04-14"/>
    <x v="0"/>
    <x v="2"/>
    <n v="77360"/>
    <s v="B"/>
    <n v="2665"/>
    <s v="Health"/>
    <n v="5"/>
    <n v="3"/>
    <s v="None"/>
    <x v="2"/>
    <s v="None"/>
  </r>
  <r>
    <n v="10056"/>
    <s v="Mason Walker"/>
    <x v="1"/>
    <n v="49"/>
    <x v="4"/>
    <x v="4"/>
    <x v="4"/>
    <x v="2"/>
    <s v="Robert King"/>
    <s v="2022-11-07"/>
    <x v="1"/>
    <x v="1"/>
    <n v="72691"/>
    <s v="C"/>
    <n v="7797"/>
    <s v="Health + Dental"/>
    <n v="12"/>
    <n v="5"/>
    <s v="Excel Workshop"/>
    <x v="0"/>
    <s v="Certified Professional"/>
  </r>
  <r>
    <n v="10057"/>
    <s v="Henry Wilson"/>
    <x v="0"/>
    <n v="43"/>
    <x v="2"/>
    <x v="4"/>
    <x v="2"/>
    <x v="1"/>
    <s v="Emily Davis"/>
    <s v="2025-01-25"/>
    <x v="1"/>
    <x v="2"/>
    <n v="74746"/>
    <s v="D"/>
    <n v="4644"/>
    <s v="None"/>
    <n v="16"/>
    <n v="3"/>
    <s v="Leadership Training"/>
    <x v="0"/>
    <s v="None"/>
  </r>
  <r>
    <n v="10058"/>
    <s v="Noah Martin"/>
    <x v="1"/>
    <n v="29"/>
    <x v="1"/>
    <x v="3"/>
    <x v="1"/>
    <x v="2"/>
    <s v="John Carter"/>
    <s v="2016-07-18"/>
    <x v="2"/>
    <x v="2"/>
    <n v="95491"/>
    <s v="A"/>
    <n v="8819"/>
    <s v="Health + Dental"/>
    <n v="0"/>
    <n v="5"/>
    <s v="None"/>
    <x v="2"/>
    <s v="None"/>
  </r>
  <r>
    <n v="10059"/>
    <s v="Mason Wilson"/>
    <x v="0"/>
    <n v="60"/>
    <x v="3"/>
    <x v="0"/>
    <x v="0"/>
    <x v="0"/>
    <s v="Emily Davis"/>
    <s v="2020-05-09"/>
    <x v="0"/>
    <x v="1"/>
    <n v="95671"/>
    <s v="D"/>
    <n v="2643"/>
    <s v="Health + Dental"/>
    <n v="18"/>
    <n v="1"/>
    <s v="None"/>
    <x v="2"/>
    <s v="None"/>
  </r>
  <r>
    <n v="10060"/>
    <s v="Lucas Moore"/>
    <x v="0"/>
    <n v="42"/>
    <x v="2"/>
    <x v="0"/>
    <x v="2"/>
    <x v="2"/>
    <s v="John Carter"/>
    <s v="2022-07-06"/>
    <x v="0"/>
    <x v="1"/>
    <n v="40925"/>
    <s v="C"/>
    <n v="4223"/>
    <s v="None"/>
    <n v="16"/>
    <n v="5"/>
    <s v="Excel Workshop"/>
    <x v="2"/>
    <s v="Advanced Training"/>
  </r>
  <r>
    <n v="10061"/>
    <s v="Mason Hall"/>
    <x v="0"/>
    <n v="36"/>
    <x v="2"/>
    <x v="3"/>
    <x v="1"/>
    <x v="1"/>
    <s v="Emily Davis"/>
    <s v="2020-02-06"/>
    <x v="1"/>
    <x v="1"/>
    <n v="64593"/>
    <s v="C"/>
    <n v="6492"/>
    <s v="None"/>
    <n v="2"/>
    <n v="3"/>
    <s v="None"/>
    <x v="0"/>
    <s v="Certified Professional"/>
  </r>
  <r>
    <n v="10062"/>
    <s v="Noah Walker"/>
    <x v="1"/>
    <n v="33"/>
    <x v="1"/>
    <x v="0"/>
    <x v="4"/>
    <x v="0"/>
    <s v="Emily Davis"/>
    <s v="2024-11-20"/>
    <x v="1"/>
    <x v="2"/>
    <n v="44149"/>
    <s v="C"/>
    <n v="7407"/>
    <s v="Health"/>
    <n v="17"/>
    <n v="3"/>
    <s v="None"/>
    <x v="4"/>
    <s v="None"/>
  </r>
  <r>
    <n v="10063"/>
    <s v="Noah Moore"/>
    <x v="0"/>
    <n v="31"/>
    <x v="1"/>
    <x v="0"/>
    <x v="4"/>
    <x v="0"/>
    <s v="John Carter"/>
    <s v="2015-09-26"/>
    <x v="0"/>
    <x v="0"/>
    <n v="52519"/>
    <s v="C"/>
    <n v="2677"/>
    <s v="Health"/>
    <n v="14"/>
    <n v="1"/>
    <s v="Excel Workshop"/>
    <x v="3"/>
    <s v="None"/>
  </r>
  <r>
    <n v="10064"/>
    <s v="Isabella Clark"/>
    <x v="1"/>
    <n v="45"/>
    <x v="2"/>
    <x v="0"/>
    <x v="3"/>
    <x v="2"/>
    <s v="Michael Scott"/>
    <s v="2022-02-15"/>
    <x v="1"/>
    <x v="0"/>
    <n v="95503"/>
    <s v="D"/>
    <n v="6862"/>
    <s v="Health"/>
    <n v="5"/>
    <n v="2"/>
    <s v="Excel Workshop"/>
    <x v="3"/>
    <s v="None"/>
  </r>
  <r>
    <n v="10065"/>
    <s v="Grace Lewis"/>
    <x v="1"/>
    <n v="21"/>
    <x v="0"/>
    <x v="1"/>
    <x v="1"/>
    <x v="3"/>
    <s v="John Carter"/>
    <s v="2020-04-24"/>
    <x v="1"/>
    <x v="1"/>
    <n v="74633"/>
    <s v="C"/>
    <n v="4970"/>
    <s v="Health + Dental"/>
    <n v="14"/>
    <n v="4"/>
    <s v="None"/>
    <x v="0"/>
    <s v="None"/>
  </r>
  <r>
    <n v="10066"/>
    <s v="Henry Johnson"/>
    <x v="1"/>
    <n v="25"/>
    <x v="0"/>
    <x v="3"/>
    <x v="1"/>
    <x v="2"/>
    <s v="Emily Davis"/>
    <s v="2021-03-27"/>
    <x v="2"/>
    <x v="0"/>
    <n v="45687"/>
    <s v="C"/>
    <n v="9351"/>
    <s v="Health"/>
    <n v="4"/>
    <n v="4"/>
    <s v="None"/>
    <x v="4"/>
    <s v="Certified Professional"/>
  </r>
  <r>
    <n v="10067"/>
    <s v="Noah Martin"/>
    <x v="1"/>
    <n v="21"/>
    <x v="0"/>
    <x v="4"/>
    <x v="3"/>
    <x v="1"/>
    <s v="Emily Davis"/>
    <s v="2019-03-23"/>
    <x v="0"/>
    <x v="2"/>
    <n v="38728"/>
    <s v="A"/>
    <n v="2444"/>
    <s v="Health"/>
    <n v="2"/>
    <n v="2"/>
    <s v="Leadership Training"/>
    <x v="1"/>
    <s v="None"/>
  </r>
  <r>
    <n v="10068"/>
    <s v="Mia Lee"/>
    <x v="0"/>
    <n v="52"/>
    <x v="4"/>
    <x v="1"/>
    <x v="3"/>
    <x v="4"/>
    <s v="Michael Scott"/>
    <s v="2016-03-02"/>
    <x v="1"/>
    <x v="0"/>
    <n v="52630"/>
    <s v="B"/>
    <n v="4861"/>
    <s v="Health + Dental"/>
    <n v="18"/>
    <n v="3"/>
    <s v="Leadership Training"/>
    <x v="4"/>
    <s v="None"/>
  </r>
  <r>
    <n v="10069"/>
    <s v="Ethan King"/>
    <x v="0"/>
    <n v="59"/>
    <x v="3"/>
    <x v="3"/>
    <x v="3"/>
    <x v="1"/>
    <s v="Emily Davis"/>
    <s v="2020-08-03"/>
    <x v="2"/>
    <x v="1"/>
    <n v="43990"/>
    <s v="A"/>
    <n v="6110"/>
    <s v="Health"/>
    <n v="6"/>
    <n v="5"/>
    <s v="Excel Workshop"/>
    <x v="1"/>
    <s v="Advanced Training"/>
  </r>
  <r>
    <n v="10070"/>
    <s v="Olivia Brown"/>
    <x v="1"/>
    <n v="40"/>
    <x v="2"/>
    <x v="3"/>
    <x v="4"/>
    <x v="2"/>
    <s v="Lisa Brown"/>
    <s v="2025-06-06"/>
    <x v="1"/>
    <x v="0"/>
    <n v="94985"/>
    <s v="A"/>
    <n v="1488"/>
    <s v="None"/>
    <n v="19"/>
    <n v="4"/>
    <s v="Leadership Training"/>
    <x v="3"/>
    <s v="Advanced Training"/>
  </r>
  <r>
    <n v="10071"/>
    <s v="Liam King"/>
    <x v="1"/>
    <n v="50"/>
    <x v="4"/>
    <x v="1"/>
    <x v="2"/>
    <x v="2"/>
    <s v="Emily Davis"/>
    <s v="2021-11-05"/>
    <x v="1"/>
    <x v="1"/>
    <n v="65838"/>
    <s v="B"/>
    <n v="9661"/>
    <s v="None"/>
    <n v="10"/>
    <n v="1"/>
    <s v="None"/>
    <x v="4"/>
    <s v="Advanced Training"/>
  </r>
  <r>
    <n v="10072"/>
    <s v="Isabella Thomas"/>
    <x v="0"/>
    <n v="25"/>
    <x v="0"/>
    <x v="4"/>
    <x v="0"/>
    <x v="0"/>
    <s v="Lisa Brown"/>
    <s v="2015-08-30"/>
    <x v="2"/>
    <x v="2"/>
    <n v="55313"/>
    <s v="D"/>
    <n v="2421"/>
    <s v="None"/>
    <n v="18"/>
    <n v="3"/>
    <s v="Leadership Training"/>
    <x v="3"/>
    <s v="None"/>
  </r>
  <r>
    <n v="10073"/>
    <s v="Liam Young"/>
    <x v="0"/>
    <n v="42"/>
    <x v="2"/>
    <x v="4"/>
    <x v="4"/>
    <x v="2"/>
    <s v="Lisa Brown"/>
    <s v="2020-11-06"/>
    <x v="1"/>
    <x v="1"/>
    <n v="44964"/>
    <s v="B"/>
    <n v="6062"/>
    <s v="None"/>
    <n v="18"/>
    <n v="3"/>
    <s v="Excel Workshop"/>
    <x v="0"/>
    <s v="Certified Professional"/>
  </r>
  <r>
    <n v="10074"/>
    <s v="Ava Martin"/>
    <x v="1"/>
    <n v="60"/>
    <x v="3"/>
    <x v="0"/>
    <x v="4"/>
    <x v="4"/>
    <s v="Sarah Adams"/>
    <s v="2025-06-13"/>
    <x v="0"/>
    <x v="1"/>
    <n v="32801"/>
    <s v="B"/>
    <n v="7841"/>
    <s v="Health + Dental"/>
    <n v="19"/>
    <n v="4"/>
    <s v="None"/>
    <x v="2"/>
    <s v="None"/>
  </r>
  <r>
    <n v="10075"/>
    <s v="James Taylor"/>
    <x v="1"/>
    <n v="59"/>
    <x v="3"/>
    <x v="1"/>
    <x v="4"/>
    <x v="1"/>
    <s v="Michael Scott"/>
    <s v="2025-04-01"/>
    <x v="0"/>
    <x v="0"/>
    <n v="91316"/>
    <s v="C"/>
    <n v="9911"/>
    <s v="Health"/>
    <n v="14"/>
    <n v="3"/>
    <s v="Excel Workshop"/>
    <x v="2"/>
    <s v="Certified Professional"/>
  </r>
  <r>
    <n v="10076"/>
    <s v="Aria Hall"/>
    <x v="0"/>
    <n v="58"/>
    <x v="3"/>
    <x v="2"/>
    <x v="4"/>
    <x v="1"/>
    <s v="Emily Davis"/>
    <s v="2016-10-12"/>
    <x v="2"/>
    <x v="1"/>
    <n v="39073"/>
    <s v="D"/>
    <n v="6895"/>
    <s v="None"/>
    <n v="8"/>
    <n v="1"/>
    <s v="None"/>
    <x v="3"/>
    <s v="Advanced Training"/>
  </r>
  <r>
    <n v="10077"/>
    <s v="Ava Johnson"/>
    <x v="0"/>
    <n v="49"/>
    <x v="4"/>
    <x v="0"/>
    <x v="0"/>
    <x v="0"/>
    <s v="Lisa Brown"/>
    <s v="2018-08-03"/>
    <x v="1"/>
    <x v="1"/>
    <n v="65508"/>
    <s v="C"/>
    <n v="1012"/>
    <s v="None"/>
    <n v="13"/>
    <n v="5"/>
    <s v="None"/>
    <x v="1"/>
    <s v="None"/>
  </r>
  <r>
    <n v="10078"/>
    <s v="Sophia King"/>
    <x v="1"/>
    <n v="27"/>
    <x v="1"/>
    <x v="1"/>
    <x v="3"/>
    <x v="2"/>
    <s v="Michael Scott"/>
    <s v="2021-12-03"/>
    <x v="0"/>
    <x v="2"/>
    <n v="32152"/>
    <s v="B"/>
    <n v="2312"/>
    <s v="Health"/>
    <n v="7"/>
    <n v="2"/>
    <s v="None"/>
    <x v="1"/>
    <s v="Certified Professional"/>
  </r>
  <r>
    <n v="10079"/>
    <s v="Ethan King"/>
    <x v="1"/>
    <n v="35"/>
    <x v="1"/>
    <x v="3"/>
    <x v="0"/>
    <x v="4"/>
    <s v="Robert King"/>
    <s v="2022-12-30"/>
    <x v="2"/>
    <x v="0"/>
    <n v="85710"/>
    <s v="C"/>
    <n v="3870"/>
    <s v="None"/>
    <n v="12"/>
    <n v="1"/>
    <s v="None"/>
    <x v="2"/>
    <s v="Certified Professional"/>
  </r>
  <r>
    <n v="10080"/>
    <s v="Aria Hall"/>
    <x v="0"/>
    <n v="38"/>
    <x v="2"/>
    <x v="1"/>
    <x v="1"/>
    <x v="1"/>
    <s v="Robert King"/>
    <s v="2019-11-01"/>
    <x v="0"/>
    <x v="2"/>
    <n v="73232"/>
    <s v="B"/>
    <n v="5506"/>
    <s v="Health + Dental"/>
    <n v="9"/>
    <n v="1"/>
    <s v="Leadership Training"/>
    <x v="0"/>
    <s v="Certified Professional"/>
  </r>
  <r>
    <n v="10081"/>
    <s v="Isabella Johnson"/>
    <x v="0"/>
    <n v="23"/>
    <x v="0"/>
    <x v="4"/>
    <x v="2"/>
    <x v="1"/>
    <s v="Michael Scott"/>
    <s v="2024-04-07"/>
    <x v="0"/>
    <x v="0"/>
    <n v="33994"/>
    <s v="B"/>
    <n v="1162"/>
    <s v="Health"/>
    <n v="5"/>
    <n v="1"/>
    <s v="Leadership Training"/>
    <x v="3"/>
    <s v="Certified Professional"/>
  </r>
  <r>
    <n v="10082"/>
    <s v="Henry Lee"/>
    <x v="1"/>
    <n v="52"/>
    <x v="4"/>
    <x v="2"/>
    <x v="0"/>
    <x v="1"/>
    <s v="Emily Davis"/>
    <s v="2025-04-27"/>
    <x v="1"/>
    <x v="0"/>
    <n v="32395"/>
    <s v="B"/>
    <n v="3515"/>
    <s v="Health + Dental"/>
    <n v="4"/>
    <n v="5"/>
    <s v="Leadership Training"/>
    <x v="0"/>
    <s v="Certified Professional"/>
  </r>
  <r>
    <n v="10083"/>
    <s v="Olivia Taylor"/>
    <x v="1"/>
    <n v="50"/>
    <x v="4"/>
    <x v="2"/>
    <x v="4"/>
    <x v="4"/>
    <s v="Emily Davis"/>
    <s v="2020-11-27"/>
    <x v="2"/>
    <x v="2"/>
    <n v="88353"/>
    <s v="B"/>
    <n v="6847"/>
    <s v="Health"/>
    <n v="15"/>
    <n v="5"/>
    <s v="Leadership Training"/>
    <x v="1"/>
    <s v="Advanced Training"/>
  </r>
  <r>
    <n v="10084"/>
    <s v="Liam Hall"/>
    <x v="0"/>
    <n v="34"/>
    <x v="1"/>
    <x v="3"/>
    <x v="4"/>
    <x v="1"/>
    <s v="John Carter"/>
    <s v="2025-03-27"/>
    <x v="2"/>
    <x v="0"/>
    <n v="47269"/>
    <s v="B"/>
    <n v="5626"/>
    <s v="None"/>
    <n v="14"/>
    <n v="3"/>
    <s v="Leadership Training"/>
    <x v="0"/>
    <s v="Certified Professional"/>
  </r>
  <r>
    <n v="10085"/>
    <s v="Emma Taylor"/>
    <x v="0"/>
    <n v="40"/>
    <x v="2"/>
    <x v="1"/>
    <x v="4"/>
    <x v="4"/>
    <s v="Robert King"/>
    <s v="2014-08-05"/>
    <x v="0"/>
    <x v="0"/>
    <n v="73454"/>
    <s v="B"/>
    <n v="4686"/>
    <s v="None"/>
    <n v="3"/>
    <n v="5"/>
    <s v="Excel Workshop"/>
    <x v="2"/>
    <s v="None"/>
  </r>
  <r>
    <n v="10086"/>
    <s v="Mason Johnson"/>
    <x v="1"/>
    <n v="40"/>
    <x v="2"/>
    <x v="1"/>
    <x v="4"/>
    <x v="0"/>
    <s v="Michael Scott"/>
    <s v="2017-08-03"/>
    <x v="0"/>
    <x v="0"/>
    <n v="94864"/>
    <s v="C"/>
    <n v="3983"/>
    <s v="Health + Dental"/>
    <n v="18"/>
    <n v="3"/>
    <s v="Excel Workshop"/>
    <x v="4"/>
    <s v="Certified Professional"/>
  </r>
  <r>
    <n v="10087"/>
    <s v="Olivia Brown"/>
    <x v="1"/>
    <n v="52"/>
    <x v="4"/>
    <x v="3"/>
    <x v="0"/>
    <x v="1"/>
    <s v="Sarah Adams"/>
    <s v="2016-05-17"/>
    <x v="0"/>
    <x v="0"/>
    <n v="87544"/>
    <s v="C"/>
    <n v="5916"/>
    <s v="Health"/>
    <n v="10"/>
    <n v="4"/>
    <s v="Excel Workshop"/>
    <x v="2"/>
    <s v="Advanced Training"/>
  </r>
  <r>
    <n v="10088"/>
    <s v="Liam Moore"/>
    <x v="1"/>
    <n v="31"/>
    <x v="1"/>
    <x v="1"/>
    <x v="3"/>
    <x v="3"/>
    <s v="Sarah Adams"/>
    <s v="2025-01-12"/>
    <x v="0"/>
    <x v="0"/>
    <n v="38951"/>
    <s v="B"/>
    <n v="9412"/>
    <s v="None"/>
    <n v="17"/>
    <n v="5"/>
    <s v="Excel Workshop"/>
    <x v="4"/>
    <s v="Certified Professional"/>
  </r>
  <r>
    <n v="10089"/>
    <s v="Noah Lee"/>
    <x v="1"/>
    <n v="47"/>
    <x v="4"/>
    <x v="2"/>
    <x v="0"/>
    <x v="4"/>
    <s v="Robert King"/>
    <s v="2023-03-07"/>
    <x v="1"/>
    <x v="2"/>
    <n v="70521"/>
    <s v="B"/>
    <n v="8471"/>
    <s v="Health"/>
    <n v="7"/>
    <n v="2"/>
    <s v="Excel Workshop"/>
    <x v="2"/>
    <s v="Advanced Training"/>
  </r>
  <r>
    <n v="10090"/>
    <s v="Grace Lee"/>
    <x v="1"/>
    <n v="40"/>
    <x v="2"/>
    <x v="3"/>
    <x v="3"/>
    <x v="2"/>
    <s v="Emily Davis"/>
    <s v="2025-01-07"/>
    <x v="0"/>
    <x v="0"/>
    <n v="94677"/>
    <s v="C"/>
    <n v="1436"/>
    <s v="None"/>
    <n v="18"/>
    <n v="3"/>
    <s v="None"/>
    <x v="0"/>
    <s v="Certified Professional"/>
  </r>
  <r>
    <n v="10091"/>
    <s v="Grace Walker"/>
    <x v="1"/>
    <n v="39"/>
    <x v="2"/>
    <x v="4"/>
    <x v="0"/>
    <x v="1"/>
    <s v="Emily Davis"/>
    <s v="2019-08-18"/>
    <x v="2"/>
    <x v="1"/>
    <n v="53505"/>
    <s v="A"/>
    <n v="6751"/>
    <s v="Health"/>
    <n v="16"/>
    <n v="2"/>
    <s v="Excel Workshop"/>
    <x v="0"/>
    <s v="Certified Professional"/>
  </r>
  <r>
    <n v="10092"/>
    <s v="Grace Lee"/>
    <x v="1"/>
    <n v="36"/>
    <x v="2"/>
    <x v="3"/>
    <x v="2"/>
    <x v="2"/>
    <s v="Michael Scott"/>
    <s v="2025-01-18"/>
    <x v="0"/>
    <x v="2"/>
    <n v="51335"/>
    <s v="D"/>
    <n v="8535"/>
    <s v="None"/>
    <n v="2"/>
    <n v="5"/>
    <s v="Excel Workshop"/>
    <x v="0"/>
    <s v="Certified Professional"/>
  </r>
  <r>
    <n v="10093"/>
    <s v="Noah Lewis"/>
    <x v="0"/>
    <n v="46"/>
    <x v="4"/>
    <x v="1"/>
    <x v="1"/>
    <x v="1"/>
    <s v="Emily Davis"/>
    <s v="2022-09-11"/>
    <x v="0"/>
    <x v="1"/>
    <n v="96587"/>
    <s v="D"/>
    <n v="4148"/>
    <s v="Health + Dental"/>
    <n v="15"/>
    <n v="1"/>
    <s v="None"/>
    <x v="4"/>
    <s v="Certified Professional"/>
  </r>
  <r>
    <n v="10094"/>
    <s v="Mason Hall"/>
    <x v="1"/>
    <n v="54"/>
    <x v="4"/>
    <x v="0"/>
    <x v="3"/>
    <x v="2"/>
    <s v="Robert King"/>
    <s v="2021-05-03"/>
    <x v="2"/>
    <x v="1"/>
    <n v="81767"/>
    <s v="C"/>
    <n v="4425"/>
    <s v="Health + Dental"/>
    <n v="16"/>
    <n v="1"/>
    <s v="None"/>
    <x v="0"/>
    <s v="Advanced Training"/>
  </r>
  <r>
    <n v="10095"/>
    <s v="Henry Moore"/>
    <x v="1"/>
    <n v="54"/>
    <x v="4"/>
    <x v="1"/>
    <x v="2"/>
    <x v="1"/>
    <s v="Michael Scott"/>
    <s v="2023-03-07"/>
    <x v="0"/>
    <x v="0"/>
    <n v="70567"/>
    <s v="D"/>
    <n v="3149"/>
    <s v="Health + Dental"/>
    <n v="15"/>
    <n v="4"/>
    <s v="None"/>
    <x v="2"/>
    <s v="Advanced Training"/>
  </r>
  <r>
    <n v="10096"/>
    <s v="James Lee"/>
    <x v="0"/>
    <n v="35"/>
    <x v="1"/>
    <x v="3"/>
    <x v="4"/>
    <x v="0"/>
    <s v="Robert King"/>
    <s v="2022-10-15"/>
    <x v="2"/>
    <x v="2"/>
    <n v="47791"/>
    <s v="B"/>
    <n v="6443"/>
    <s v="Health"/>
    <n v="8"/>
    <n v="5"/>
    <s v="Leadership Training"/>
    <x v="0"/>
    <s v="None"/>
  </r>
  <r>
    <n v="10097"/>
    <s v="Grace Walker"/>
    <x v="1"/>
    <n v="23"/>
    <x v="0"/>
    <x v="3"/>
    <x v="2"/>
    <x v="3"/>
    <s v="Michael Scott"/>
    <s v="2020-07-30"/>
    <x v="2"/>
    <x v="0"/>
    <n v="71619"/>
    <s v="A"/>
    <n v="2409"/>
    <s v="Health"/>
    <n v="20"/>
    <n v="4"/>
    <s v="None"/>
    <x v="2"/>
    <s v="None"/>
  </r>
  <r>
    <n v="10098"/>
    <s v="Grace Clark"/>
    <x v="1"/>
    <n v="37"/>
    <x v="2"/>
    <x v="2"/>
    <x v="3"/>
    <x v="0"/>
    <s v="Sarah Adams"/>
    <s v="2022-04-20"/>
    <x v="2"/>
    <x v="0"/>
    <n v="38234"/>
    <s v="A"/>
    <n v="3160"/>
    <s v="Health"/>
    <n v="10"/>
    <n v="2"/>
    <s v="None"/>
    <x v="2"/>
    <s v="None"/>
  </r>
  <r>
    <n v="10099"/>
    <s v="Ava Wilson"/>
    <x v="0"/>
    <n v="33"/>
    <x v="1"/>
    <x v="0"/>
    <x v="3"/>
    <x v="0"/>
    <s v="Robert King"/>
    <s v="2020-09-17"/>
    <x v="2"/>
    <x v="0"/>
    <n v="54528"/>
    <s v="D"/>
    <n v="5238"/>
    <s v="Health"/>
    <n v="9"/>
    <n v="3"/>
    <s v="None"/>
    <x v="1"/>
    <s v="None"/>
  </r>
  <r>
    <n v="10100"/>
    <s v="Isabella Smith"/>
    <x v="0"/>
    <n v="26"/>
    <x v="1"/>
    <x v="4"/>
    <x v="3"/>
    <x v="4"/>
    <s v="Michael Scott"/>
    <s v="2016-02-17"/>
    <x v="1"/>
    <x v="0"/>
    <n v="54125"/>
    <s v="D"/>
    <n v="9708"/>
    <s v="Health"/>
    <n v="0"/>
    <n v="1"/>
    <s v="Excel Workshop"/>
    <x v="0"/>
    <s v="Certified Profes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B58D7C-A78C-45C0-BFC6-E599003C02B6}"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3:E9" firstHeaderRow="1" firstDataRow="1" firstDataCol="1"/>
  <pivotFields count="21">
    <pivotField showAll="0"/>
    <pivotField showAll="0"/>
    <pivotField showAll="0">
      <items count="3">
        <item x="0"/>
        <item x="1"/>
        <item t="default"/>
      </items>
    </pivotField>
    <pivotField showAll="0"/>
    <pivotField showAll="0"/>
    <pivotField showAll="0">
      <items count="6">
        <item x="1"/>
        <item x="0"/>
        <item x="4"/>
        <item x="3"/>
        <item x="2"/>
        <item t="default"/>
      </items>
    </pivotField>
    <pivotField showAll="0"/>
    <pivotField axis="axisRow" showAll="0">
      <items count="6">
        <item x="0"/>
        <item x="1"/>
        <item x="4"/>
        <item x="2"/>
        <item x="3"/>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7"/>
  </rowFields>
  <rowItems count="6">
    <i>
      <x/>
    </i>
    <i>
      <x v="1"/>
    </i>
    <i>
      <x v="2"/>
    </i>
    <i>
      <x v="3"/>
    </i>
    <i>
      <x v="4"/>
    </i>
    <i t="grand">
      <x/>
    </i>
  </rowItems>
  <colItems count="1">
    <i/>
  </colItems>
  <dataFields count="1">
    <dataField name="Average of Performance Rating" fld="1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A8BEB95-FE93-468D-AC92-E0475A47B400}"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R3:T9" firstHeaderRow="0" firstDataRow="1" firstDataCol="1"/>
  <pivotFields count="21">
    <pivotField showAll="0"/>
    <pivotField showAll="0"/>
    <pivotField showAll="0">
      <items count="3">
        <item x="0"/>
        <item x="1"/>
        <item t="default"/>
      </items>
    </pivotField>
    <pivotField showAll="0"/>
    <pivotField showAll="0"/>
    <pivotField showAll="0">
      <items count="6">
        <item x="1"/>
        <item x="0"/>
        <item x="4"/>
        <item x="3"/>
        <item x="2"/>
        <item t="default"/>
      </items>
    </pivotField>
    <pivotField axis="axisRow" showAll="0">
      <items count="6">
        <item x="4"/>
        <item x="1"/>
        <item x="3"/>
        <item x="2"/>
        <item x="0"/>
        <item t="default"/>
      </items>
    </pivotField>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s>
  <rowFields count="1">
    <field x="6"/>
  </rowFields>
  <rowItems count="6">
    <i>
      <x/>
    </i>
    <i>
      <x v="1"/>
    </i>
    <i>
      <x v="2"/>
    </i>
    <i>
      <x v="3"/>
    </i>
    <i>
      <x v="4"/>
    </i>
    <i t="grand">
      <x/>
    </i>
  </rowItems>
  <colFields count="1">
    <field x="-2"/>
  </colFields>
  <colItems count="2">
    <i>
      <x/>
    </i>
    <i i="1">
      <x v="1"/>
    </i>
  </colItems>
  <dataFields count="2">
    <dataField name="Sum of Salary" fld="12" baseField="0" baseItem="0"/>
    <dataField name="Sum of Leave Taken"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8BF851-E291-434C-AC06-467538BB63F1}"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location ref="J3:K7" firstHeaderRow="1" firstDataRow="1" firstDataCol="1"/>
  <pivotFields count="21">
    <pivotField dataField="1" showAll="0"/>
    <pivotField showAll="0"/>
    <pivotField showAll="0">
      <items count="3">
        <item x="0"/>
        <item x="1"/>
        <item t="default"/>
      </items>
    </pivotField>
    <pivotField showAll="0"/>
    <pivotField showAll="0"/>
    <pivotField showAll="0">
      <items count="6">
        <item x="1"/>
        <item x="0"/>
        <item x="4"/>
        <item x="3"/>
        <item x="2"/>
        <item t="default"/>
      </items>
    </pivotField>
    <pivotField showAll="0"/>
    <pivotField showAll="0"/>
    <pivotField showAll="0"/>
    <pivotField showAll="0"/>
    <pivotField showAll="0"/>
    <pivotField axis="axisRow" showAll="0">
      <items count="4">
        <item x="1"/>
        <item x="0"/>
        <item x="2"/>
        <item t="default"/>
      </items>
    </pivotField>
    <pivotField showAll="0"/>
    <pivotField showAll="0"/>
    <pivotField showAll="0"/>
    <pivotField showAll="0"/>
    <pivotField showAll="0"/>
    <pivotField showAll="0"/>
    <pivotField showAll="0"/>
    <pivotField showAll="0"/>
    <pivotField showAll="0"/>
  </pivotFields>
  <rowFields count="1">
    <field x="11"/>
  </rowFields>
  <rowItems count="4">
    <i>
      <x/>
    </i>
    <i>
      <x v="1"/>
    </i>
    <i>
      <x v="2"/>
    </i>
    <i t="grand">
      <x/>
    </i>
  </rowItems>
  <colItems count="1">
    <i/>
  </colItems>
  <dataFields count="1">
    <dataField name="Count of Employee I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B32B3C-B47E-447D-B12A-EEF44172AAE2}"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location ref="A3:B7" firstHeaderRow="1" firstDataRow="1" firstDataCol="1"/>
  <pivotFields count="21">
    <pivotField dataField="1" showAll="0"/>
    <pivotField showAll="0"/>
    <pivotField showAll="0">
      <items count="3">
        <item x="0"/>
        <item x="1"/>
        <item t="default"/>
      </items>
    </pivotField>
    <pivotField showAll="0"/>
    <pivotField showAll="0"/>
    <pivotField showAll="0">
      <items count="6">
        <item x="1"/>
        <item x="0"/>
        <item x="4"/>
        <item x="3"/>
        <item x="2"/>
        <item t="default"/>
      </items>
    </pivotField>
    <pivotField showAll="0"/>
    <pivotField showAll="0"/>
    <pivotField showAll="0"/>
    <pivotField showAll="0"/>
    <pivotField axis="axisRow"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s>
  <rowFields count="1">
    <field x="10"/>
  </rowFields>
  <rowItems count="4">
    <i>
      <x/>
    </i>
    <i>
      <x v="1"/>
    </i>
    <i>
      <x v="2"/>
    </i>
    <i t="grand">
      <x/>
    </i>
  </rowItems>
  <colItems count="1">
    <i/>
  </colItems>
  <dataFields count="1">
    <dataField name="Count of Employee ID" fld="0" subtotal="count" baseField="0" baseItem="0"/>
  </dataFields>
  <chartFormats count="8">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0" count="1" selected="0">
            <x v="0"/>
          </reference>
        </references>
      </pivotArea>
    </chartFormat>
    <chartFormat chart="2" format="7">
      <pivotArea type="data" outline="0" fieldPosition="0">
        <references count="2">
          <reference field="4294967294" count="1" selected="0">
            <x v="0"/>
          </reference>
          <reference field="10" count="1" selected="0">
            <x v="1"/>
          </reference>
        </references>
      </pivotArea>
    </chartFormat>
    <chartFormat chart="2" format="8">
      <pivotArea type="data" outline="0" fieldPosition="0">
        <references count="2">
          <reference field="4294967294" count="1" selected="0">
            <x v="0"/>
          </reference>
          <reference field="10" count="1" selected="0">
            <x v="2"/>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8ADD0BE-6EA0-4A0E-9F98-5FA8AEB82AFE}"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location ref="V3:W9" firstHeaderRow="1" firstDataRow="1" firstDataCol="1"/>
  <pivotFields count="21">
    <pivotField dataField="1" showAll="0"/>
    <pivotField showAll="0"/>
    <pivotField showAll="0">
      <items count="3">
        <item x="0"/>
        <item x="1"/>
        <item t="default"/>
      </items>
    </pivotField>
    <pivotField showAll="0"/>
    <pivotField showAll="0"/>
    <pivotField axis="axisRow" showAll="0">
      <items count="6">
        <item x="1"/>
        <item x="0"/>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6">
    <i>
      <x/>
    </i>
    <i>
      <x v="1"/>
    </i>
    <i>
      <x v="2"/>
    </i>
    <i>
      <x v="3"/>
    </i>
    <i>
      <x v="4"/>
    </i>
    <i t="grand">
      <x/>
    </i>
  </rowItems>
  <colItems count="1">
    <i/>
  </colItems>
  <dataFields count="1">
    <dataField name="Count of Employee ID" fld="0" subtotal="count" baseField="5" baseItem="0"/>
  </dataFields>
  <chartFormats count="7">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5" count="1" selected="0">
            <x v="4"/>
          </reference>
        </references>
      </pivotArea>
    </chartFormat>
    <chartFormat chart="2" format="4">
      <pivotArea type="data" outline="0" fieldPosition="0">
        <references count="2">
          <reference field="4294967294" count="1" selected="0">
            <x v="0"/>
          </reference>
          <reference field="5" count="1" selected="0">
            <x v="3"/>
          </reference>
        </references>
      </pivotArea>
    </chartFormat>
    <chartFormat chart="2" format="5">
      <pivotArea type="data" outline="0" fieldPosition="0">
        <references count="2">
          <reference field="4294967294" count="1" selected="0">
            <x v="0"/>
          </reference>
          <reference field="5" count="1" selected="0">
            <x v="2"/>
          </reference>
        </references>
      </pivotArea>
    </chartFormat>
    <chartFormat chart="2" format="6">
      <pivotArea type="data" outline="0" fieldPosition="0">
        <references count="2">
          <reference field="4294967294" count="1" selected="0">
            <x v="0"/>
          </reference>
          <reference field="5" count="1" selected="0">
            <x v="1"/>
          </reference>
        </references>
      </pivotArea>
    </chartFormat>
    <chartFormat chart="2" format="7">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F5CB6CD-0E1A-49A2-AB23-3BC0ED706D29}"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1">
  <location ref="G3:H9" firstHeaderRow="1" firstDataRow="1" firstDataCol="1"/>
  <pivotFields count="21">
    <pivotField dataField="1" showAll="0"/>
    <pivotField showAll="0"/>
    <pivotField showAll="0">
      <items count="3">
        <item x="0"/>
        <item x="1"/>
        <item t="default"/>
      </items>
    </pivotField>
    <pivotField showAll="0"/>
    <pivotField showAll="0"/>
    <pivotField showAll="0">
      <items count="6">
        <item x="1"/>
        <item x="0"/>
        <item x="4"/>
        <item x="3"/>
        <item x="2"/>
        <item t="default"/>
      </items>
    </pivotField>
    <pivotField showAll="0"/>
    <pivotField showAll="0">
      <items count="6">
        <item x="0"/>
        <item x="1"/>
        <item x="4"/>
        <item x="2"/>
        <item x="3"/>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6">
        <item x="3"/>
        <item x="0"/>
        <item x="4"/>
        <item x="1"/>
        <item x="2"/>
        <item t="default"/>
      </items>
      <autoSortScope>
        <pivotArea dataOnly="0" outline="0" fieldPosition="0">
          <references count="1">
            <reference field="4294967294" count="1" selected="0">
              <x v="0"/>
            </reference>
          </references>
        </pivotArea>
      </autoSortScope>
    </pivotField>
    <pivotField showAll="0"/>
  </pivotFields>
  <rowFields count="1">
    <field x="19"/>
  </rowFields>
  <rowItems count="6">
    <i>
      <x v="1"/>
    </i>
    <i>
      <x v="4"/>
    </i>
    <i>
      <x v="3"/>
    </i>
    <i>
      <x/>
    </i>
    <i>
      <x v="2"/>
    </i>
    <i t="grand">
      <x/>
    </i>
  </rowItems>
  <colItems count="1">
    <i/>
  </colItems>
  <dataFields count="1">
    <dataField name="Count of Employee ID" fld="0" subtotal="count" baseField="0" baseItem="0"/>
  </dataFields>
  <chartFormats count="8">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9" count="1" selected="0">
            <x v="2"/>
          </reference>
        </references>
      </pivotArea>
    </chartFormat>
    <chartFormat chart="6" format="4">
      <pivotArea type="data" outline="0" fieldPosition="0">
        <references count="2">
          <reference field="4294967294" count="1" selected="0">
            <x v="0"/>
          </reference>
          <reference field="19" count="1" selected="0">
            <x v="0"/>
          </reference>
        </references>
      </pivotArea>
    </chartFormat>
    <chartFormat chart="6" format="5">
      <pivotArea type="data" outline="0" fieldPosition="0">
        <references count="2">
          <reference field="4294967294" count="1" selected="0">
            <x v="0"/>
          </reference>
          <reference field="19" count="1" selected="0">
            <x v="3"/>
          </reference>
        </references>
      </pivotArea>
    </chartFormat>
    <chartFormat chart="6" format="6">
      <pivotArea type="data" outline="0" fieldPosition="0">
        <references count="2">
          <reference field="4294967294" count="1" selected="0">
            <x v="0"/>
          </reference>
          <reference field="19" count="1" selected="0">
            <x v="4"/>
          </reference>
        </references>
      </pivotArea>
    </chartFormat>
    <chartFormat chart="6" format="7">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BE794D-C420-4A6C-8986-0C96C4D4B9E0}"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M3:P10" firstHeaderRow="1" firstDataRow="2" firstDataCol="1"/>
  <pivotFields count="21">
    <pivotField dataField="1" showAll="0"/>
    <pivotField showAll="0"/>
    <pivotField axis="axisCol" showAll="0">
      <items count="3">
        <item x="0"/>
        <item x="1"/>
        <item t="default"/>
      </items>
    </pivotField>
    <pivotField showAll="0"/>
    <pivotField axis="axisRow" showAll="0">
      <items count="6">
        <item x="0"/>
        <item x="1"/>
        <item x="2"/>
        <item x="4"/>
        <item x="3"/>
        <item t="default"/>
      </items>
    </pivotField>
    <pivotField showAll="0">
      <items count="6">
        <item x="1"/>
        <item x="0"/>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6">
    <i>
      <x/>
    </i>
    <i>
      <x v="1"/>
    </i>
    <i>
      <x v="2"/>
    </i>
    <i>
      <x v="3"/>
    </i>
    <i>
      <x v="4"/>
    </i>
    <i t="grand">
      <x/>
    </i>
  </rowItems>
  <colFields count="1">
    <field x="2"/>
  </colFields>
  <colItems count="3">
    <i>
      <x/>
    </i>
    <i>
      <x v="1"/>
    </i>
    <i t="grand">
      <x/>
    </i>
  </colItems>
  <dataFields count="1">
    <dataField name="Count of Employee ID" fld="0" subtotal="count" baseField="0" baseItem="0"/>
  </dataFields>
  <chartFormats count="14">
    <chartFormat chart="1" format="0" series="1">
      <pivotArea type="data" outline="0" fieldPosition="0">
        <references count="2">
          <reference field="4294967294" count="1" selected="0">
            <x v="0"/>
          </reference>
          <reference field="2" count="1" selected="0">
            <x v="0"/>
          </reference>
        </references>
      </pivotArea>
    </chartFormat>
    <chartFormat chart="1" format="1" series="1">
      <pivotArea type="data" outline="0" fieldPosition="0">
        <references count="2">
          <reference field="4294967294" count="1" selected="0">
            <x v="0"/>
          </reference>
          <reference field="2" count="1" selected="0">
            <x v="1"/>
          </reference>
        </references>
      </pivotArea>
    </chartFormat>
    <chartFormat chart="5" format="4" series="1">
      <pivotArea type="data" outline="0" fieldPosition="0">
        <references count="2">
          <reference field="4294967294" count="1" selected="0">
            <x v="0"/>
          </reference>
          <reference field="2" count="1" selected="0">
            <x v="0"/>
          </reference>
        </references>
      </pivotArea>
    </chartFormat>
    <chartFormat chart="5" format="5" series="1">
      <pivotArea type="data" outline="0" fieldPosition="0">
        <references count="2">
          <reference field="4294967294" count="1" selected="0">
            <x v="0"/>
          </reference>
          <reference field="2" count="1" selected="0">
            <x v="1"/>
          </reference>
        </references>
      </pivotArea>
    </chartFormat>
    <chartFormat chart="5" format="6">
      <pivotArea type="data" outline="0" fieldPosition="0">
        <references count="3">
          <reference field="4294967294" count="1" selected="0">
            <x v="0"/>
          </reference>
          <reference field="2" count="1" selected="0">
            <x v="0"/>
          </reference>
          <reference field="4" count="1" selected="0">
            <x v="0"/>
          </reference>
        </references>
      </pivotArea>
    </chartFormat>
    <chartFormat chart="5" format="7">
      <pivotArea type="data" outline="0" fieldPosition="0">
        <references count="3">
          <reference field="4294967294" count="1" selected="0">
            <x v="0"/>
          </reference>
          <reference field="2" count="1" selected="0">
            <x v="1"/>
          </reference>
          <reference field="4" count="1" selected="0">
            <x v="0"/>
          </reference>
        </references>
      </pivotArea>
    </chartFormat>
    <chartFormat chart="5" format="8">
      <pivotArea type="data" outline="0" fieldPosition="0">
        <references count="3">
          <reference field="4294967294" count="1" selected="0">
            <x v="0"/>
          </reference>
          <reference field="2" count="1" selected="0">
            <x v="0"/>
          </reference>
          <reference field="4" count="1" selected="0">
            <x v="1"/>
          </reference>
        </references>
      </pivotArea>
    </chartFormat>
    <chartFormat chart="5" format="9">
      <pivotArea type="data" outline="0" fieldPosition="0">
        <references count="3">
          <reference field="4294967294" count="1" selected="0">
            <x v="0"/>
          </reference>
          <reference field="2" count="1" selected="0">
            <x v="1"/>
          </reference>
          <reference field="4" count="1" selected="0">
            <x v="1"/>
          </reference>
        </references>
      </pivotArea>
    </chartFormat>
    <chartFormat chart="5" format="10">
      <pivotArea type="data" outline="0" fieldPosition="0">
        <references count="3">
          <reference field="4294967294" count="1" selected="0">
            <x v="0"/>
          </reference>
          <reference field="2" count="1" selected="0">
            <x v="0"/>
          </reference>
          <reference field="4" count="1" selected="0">
            <x v="2"/>
          </reference>
        </references>
      </pivotArea>
    </chartFormat>
    <chartFormat chart="5" format="11">
      <pivotArea type="data" outline="0" fieldPosition="0">
        <references count="3">
          <reference field="4294967294" count="1" selected="0">
            <x v="0"/>
          </reference>
          <reference field="2" count="1" selected="0">
            <x v="1"/>
          </reference>
          <reference field="4" count="1" selected="0">
            <x v="2"/>
          </reference>
        </references>
      </pivotArea>
    </chartFormat>
    <chartFormat chart="5" format="12">
      <pivotArea type="data" outline="0" fieldPosition="0">
        <references count="3">
          <reference field="4294967294" count="1" selected="0">
            <x v="0"/>
          </reference>
          <reference field="2" count="1" selected="0">
            <x v="0"/>
          </reference>
          <reference field="4" count="1" selected="0">
            <x v="3"/>
          </reference>
        </references>
      </pivotArea>
    </chartFormat>
    <chartFormat chart="5" format="13">
      <pivotArea type="data" outline="0" fieldPosition="0">
        <references count="3">
          <reference field="4294967294" count="1" selected="0">
            <x v="0"/>
          </reference>
          <reference field="2" count="1" selected="0">
            <x v="1"/>
          </reference>
          <reference field="4" count="1" selected="0">
            <x v="3"/>
          </reference>
        </references>
      </pivotArea>
    </chartFormat>
    <chartFormat chart="5" format="14">
      <pivotArea type="data" outline="0" fieldPosition="0">
        <references count="3">
          <reference field="4294967294" count="1" selected="0">
            <x v="0"/>
          </reference>
          <reference field="2" count="1" selected="0">
            <x v="0"/>
          </reference>
          <reference field="4" count="1" selected="0">
            <x v="4"/>
          </reference>
        </references>
      </pivotArea>
    </chartFormat>
    <chartFormat chart="5" format="15">
      <pivotArea type="data" outline="0" fieldPosition="0">
        <references count="3">
          <reference field="4294967294" count="1" selected="0">
            <x v="0"/>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0E0307C5-C5FF-4CDE-B52E-7478B3B30722}" sourceName="Gender">
  <pivotTables>
    <pivotTable tabId="2" name="PivotTable3"/>
    <pivotTable tabId="2" name="PivotTable1"/>
    <pivotTable tabId="2" name="PivotTable2"/>
    <pivotTable tabId="2" name="PivotTable4"/>
    <pivotTable tabId="2" name="PivotTable5"/>
    <pivotTable tabId="2" name="PivotTable6"/>
    <pivotTable tabId="2" name="PivotTable7"/>
  </pivotTables>
  <data>
    <tabular pivotCacheId="203893273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5A13837-B4B5-4F76-B92D-2E1570804D50}" sourceName="Department">
  <pivotTables>
    <pivotTable tabId="2" name="PivotTable3"/>
  </pivotTables>
  <data>
    <tabular pivotCacheId="2038932736">
      <items count="5">
        <i x="0" s="1"/>
        <i x="1" s="1"/>
        <i x="4"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C0CDD7A-B08F-4011-BFAF-323EBD90EE62}" sourceName="Region">
  <pivotTables>
    <pivotTable tabId="2" name="PivotTable3"/>
    <pivotTable tabId="2" name="PivotTable1"/>
    <pivotTable tabId="2" name="PivotTable2"/>
    <pivotTable tabId="2" name="PivotTable4"/>
    <pivotTable tabId="2" name="PivotTable5"/>
    <pivotTable tabId="2" name="PivotTable6"/>
    <pivotTable tabId="2" name="PivotTable7"/>
  </pivotTables>
  <data>
    <tabular pivotCacheId="2038932736">
      <items count="5">
        <i x="1" s="1"/>
        <i x="0" s="1"/>
        <i x="4"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689D01EF-F271-4213-98CF-473FF2C76720}" cache="Slicer_Gender1" caption="Gender" rowHeight="257175"/>
  <slicer name="Department" xr10:uid="{13228836-7D21-4785-A718-1428E5574AB5}" cache="Slicer_Department" caption="Department" rowHeight="257175"/>
  <slicer name="Region" xr10:uid="{975C5305-A79F-43A8-945B-0B8A96D6CF9A}" cache="Slicer_Region1" caption="Region"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90F5695C-59FD-48C0-8D46-D9521F18F016}" cache="Slicer_Gender1" caption="Gender" columnCount="2" showCaption="0" style="Slicer Style 5" rowHeight="749808"/>
  <slicer name="Department 1" xr10:uid="{6F4FCC14-90E4-41AD-ACFF-538B754E4108}" cache="Slicer_Department" caption="Department" columnCount="5" showCaption="0" style="Slicer Style 5" rowHeight="749808"/>
  <slicer name="Region 2" xr10:uid="{E78477AF-EFE0-4A0C-86BD-2357F7A82309}" cache="Slicer_Region1" caption="Region" columnCount="5" showCaption="0" style="Slicer Style 5" rowHeight="74980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86FF53-128E-480F-A6DB-1D8BB1938FA5}" name="HRData" displayName="HRData" ref="A1:U101" totalsRowShown="0" headerRowDxfId="22" dataDxfId="21">
  <autoFilter ref="A1:U101" xr:uid="{1A86FF53-128E-480F-A6DB-1D8BB1938FA5}"/>
  <tableColumns count="21">
    <tableColumn id="1" xr3:uid="{6FFC74B9-9956-45F6-BD2F-718CBC86D77C}" name="Employee ID" dataDxfId="20"/>
    <tableColumn id="2" xr3:uid="{147CE514-CFAB-41E1-9D64-7B0FD5FA3174}" name="Full Name" dataDxfId="19"/>
    <tableColumn id="3" xr3:uid="{807CC54B-8BAD-4F23-B3A8-21D70915115C}" name="Gender" dataDxfId="18"/>
    <tableColumn id="4" xr3:uid="{E3384F24-030F-4A13-A077-F4B2BEAA1C58}" name="Age" dataDxfId="17"/>
    <tableColumn id="5" xr3:uid="{B64F80DF-C7C9-40C6-8795-8CDBDEB15639}" name="Age range" dataDxfId="16"/>
    <tableColumn id="6" xr3:uid="{0A90333C-EA61-4F5A-BE2C-9BA469EF2600}" name="Region" dataDxfId="15"/>
    <tableColumn id="7" xr3:uid="{CF5CC118-9A5D-4C14-A75E-8548C619CDE1}" name="Job Title" dataDxfId="14"/>
    <tableColumn id="8" xr3:uid="{C3C578BA-705F-4AF9-88E3-73BCD56F7CD6}" name="Department" dataDxfId="13"/>
    <tableColumn id="9" xr3:uid="{FBDC3BF6-7E0A-4B8D-BCFB-41657FA3E070}" name="Manager/Supervisor" dataDxfId="12"/>
    <tableColumn id="10" xr3:uid="{708DC3F0-FA53-4B72-AA18-DC87CEE20FB3}" name="Date of Hire" dataDxfId="11"/>
    <tableColumn id="11" xr3:uid="{D2F08F6E-C2D1-4B92-A6BE-46A15F352BE9}" name="Employment Status" dataDxfId="10"/>
    <tableColumn id="12" xr3:uid="{FB1A7A1C-C9B9-441A-967D-94D56ABD0540}" name="Work Location" dataDxfId="9"/>
    <tableColumn id="13" xr3:uid="{A7F38156-A930-4B10-88FA-F3A844491896}" name="Salary" dataDxfId="8"/>
    <tableColumn id="14" xr3:uid="{BD7D17CA-2E5D-470C-B319-7963D174FBD0}" name="Pay Grade" dataDxfId="7"/>
    <tableColumn id="15" xr3:uid="{D6016C71-9EBD-4282-8AEC-AE5FD5F520CB}" name="Bonus/Allowances" dataDxfId="6"/>
    <tableColumn id="16" xr3:uid="{170C5320-333E-4EBE-A5AE-8050B6C327EE}" name="Insurance Details" dataDxfId="5"/>
    <tableColumn id="17" xr3:uid="{C0C872ED-DF56-467C-9103-E553A528B5C5}" name="Leave Taken" dataDxfId="4"/>
    <tableColumn id="18" xr3:uid="{AA1A3A9D-01C6-4D98-95DF-BC9121D6A4EE}" name="Performance Rating" dataDxfId="3"/>
    <tableColumn id="19" xr3:uid="{AFC050B7-1F58-4FD6-836F-26D8981F8751}" name="Training Programs Attended" dataDxfId="2"/>
    <tableColumn id="20" xr3:uid="{4F456ADA-2E3A-4B3A-A7E0-725C369E8A82}" name="Skills" dataDxfId="1"/>
    <tableColumn id="21" xr3:uid="{36FAF2CC-AC6F-434C-B68B-811DF47BBC72}" name="Certifications"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6B627-1284-433D-9F37-DC45DD8DA261}">
  <sheetPr codeName="Sheet1"/>
  <dimension ref="A1:W18"/>
  <sheetViews>
    <sheetView topLeftCell="L1" workbookViewId="0">
      <selection activeCell="T17" sqref="T17"/>
    </sheetView>
  </sheetViews>
  <sheetFormatPr defaultRowHeight="15"/>
  <cols>
    <col min="1" max="1" width="10.7109375" customWidth="1"/>
    <col min="2" max="2" width="4" customWidth="1"/>
    <col min="3" max="3" width="16" customWidth="1"/>
    <col min="4" max="4" width="7.5703125" customWidth="1"/>
    <col min="5" max="5" width="11" customWidth="1"/>
    <col min="8" max="8" width="7.5703125" customWidth="1"/>
    <col min="11" max="11" width="8.5703125" customWidth="1"/>
    <col min="13" max="13" width="16" customWidth="1"/>
    <col min="18" max="18" width="24.5703125" customWidth="1"/>
    <col min="20" max="20" width="13.28515625" bestFit="1" customWidth="1"/>
  </cols>
  <sheetData>
    <row r="1" spans="1:23">
      <c r="C1" s="7" t="s">
        <v>313</v>
      </c>
      <c r="H1" s="6" t="s">
        <v>321</v>
      </c>
      <c r="M1" s="33" t="s">
        <v>322</v>
      </c>
      <c r="R1" s="6" t="s">
        <v>326</v>
      </c>
    </row>
    <row r="3" spans="1:23">
      <c r="A3" s="4" t="s">
        <v>310</v>
      </c>
      <c r="B3" t="s">
        <v>309</v>
      </c>
      <c r="D3" s="4" t="s">
        <v>310</v>
      </c>
      <c r="E3" t="s">
        <v>312</v>
      </c>
      <c r="G3" s="4" t="s">
        <v>310</v>
      </c>
      <c r="H3" t="s">
        <v>309</v>
      </c>
      <c r="J3" s="4" t="s">
        <v>310</v>
      </c>
      <c r="K3" t="s">
        <v>309</v>
      </c>
      <c r="M3" s="4" t="s">
        <v>309</v>
      </c>
      <c r="N3" s="4" t="s">
        <v>324</v>
      </c>
      <c r="R3" s="4" t="s">
        <v>310</v>
      </c>
      <c r="S3" t="s">
        <v>327</v>
      </c>
      <c r="T3" t="s">
        <v>328</v>
      </c>
      <c r="V3" s="4" t="s">
        <v>310</v>
      </c>
      <c r="W3" t="s">
        <v>309</v>
      </c>
    </row>
    <row r="4" spans="1:23">
      <c r="A4" s="5" t="s">
        <v>63</v>
      </c>
      <c r="B4">
        <v>31</v>
      </c>
      <c r="D4" s="5" t="s">
        <v>26</v>
      </c>
      <c r="E4">
        <v>2.7142857142857144</v>
      </c>
      <c r="G4" s="5" t="s">
        <v>34</v>
      </c>
      <c r="H4">
        <v>25</v>
      </c>
      <c r="J4" s="5" t="s">
        <v>44</v>
      </c>
      <c r="K4">
        <v>38</v>
      </c>
      <c r="M4" s="4" t="s">
        <v>310</v>
      </c>
      <c r="N4" t="s">
        <v>22</v>
      </c>
      <c r="O4" t="s">
        <v>37</v>
      </c>
      <c r="P4" t="s">
        <v>311</v>
      </c>
      <c r="R4" s="5" t="s">
        <v>121</v>
      </c>
      <c r="S4">
        <v>991270</v>
      </c>
      <c r="T4">
        <v>207</v>
      </c>
      <c r="V4" s="5" t="s">
        <v>39</v>
      </c>
      <c r="W4">
        <v>26</v>
      </c>
    </row>
    <row r="5" spans="1:23">
      <c r="A5" s="5" t="s">
        <v>29</v>
      </c>
      <c r="B5">
        <v>41</v>
      </c>
      <c r="D5" s="5" t="s">
        <v>41</v>
      </c>
      <c r="E5">
        <v>3</v>
      </c>
      <c r="G5" s="5" t="s">
        <v>66</v>
      </c>
      <c r="H5">
        <v>22</v>
      </c>
      <c r="J5" s="5" t="s">
        <v>30</v>
      </c>
      <c r="K5">
        <v>30</v>
      </c>
      <c r="M5" s="5" t="s">
        <v>23</v>
      </c>
      <c r="N5">
        <v>8</v>
      </c>
      <c r="O5">
        <v>7</v>
      </c>
      <c r="P5">
        <v>15</v>
      </c>
      <c r="R5" s="5" t="s">
        <v>40</v>
      </c>
      <c r="S5">
        <v>1141425</v>
      </c>
      <c r="T5">
        <v>159</v>
      </c>
      <c r="V5" s="5" t="s">
        <v>24</v>
      </c>
      <c r="W5">
        <v>19</v>
      </c>
    </row>
    <row r="6" spans="1:23">
      <c r="A6" s="5" t="s">
        <v>111</v>
      </c>
      <c r="B6">
        <v>28</v>
      </c>
      <c r="D6" s="5" t="s">
        <v>81</v>
      </c>
      <c r="E6">
        <v>2.6875</v>
      </c>
      <c r="G6" s="5" t="s">
        <v>56</v>
      </c>
      <c r="H6">
        <v>19</v>
      </c>
      <c r="J6" s="5" t="s">
        <v>54</v>
      </c>
      <c r="K6">
        <v>32</v>
      </c>
      <c r="M6" s="5" t="s">
        <v>38</v>
      </c>
      <c r="N6">
        <v>14</v>
      </c>
      <c r="O6">
        <v>11</v>
      </c>
      <c r="P6">
        <v>25</v>
      </c>
      <c r="R6" s="5" t="s">
        <v>72</v>
      </c>
      <c r="S6">
        <v>1258879</v>
      </c>
      <c r="T6">
        <v>212</v>
      </c>
      <c r="V6" s="5" t="s">
        <v>102</v>
      </c>
      <c r="W6">
        <v>17</v>
      </c>
    </row>
    <row r="7" spans="1:23">
      <c r="A7" s="5" t="s">
        <v>311</v>
      </c>
      <c r="B7">
        <v>100</v>
      </c>
      <c r="D7" s="5" t="s">
        <v>51</v>
      </c>
      <c r="E7">
        <v>3.04</v>
      </c>
      <c r="G7" s="5" t="s">
        <v>75</v>
      </c>
      <c r="H7">
        <v>19</v>
      </c>
      <c r="J7" s="5" t="s">
        <v>311</v>
      </c>
      <c r="K7">
        <v>100</v>
      </c>
      <c r="M7" s="5" t="s">
        <v>59</v>
      </c>
      <c r="N7">
        <v>11</v>
      </c>
      <c r="O7">
        <v>15</v>
      </c>
      <c r="P7">
        <v>26</v>
      </c>
      <c r="R7" s="5" t="s">
        <v>50</v>
      </c>
      <c r="S7">
        <v>1573579</v>
      </c>
      <c r="T7">
        <v>234</v>
      </c>
      <c r="V7" s="5" t="s">
        <v>80</v>
      </c>
      <c r="W7">
        <v>24</v>
      </c>
    </row>
    <row r="8" spans="1:23">
      <c r="D8" s="5" t="s">
        <v>60</v>
      </c>
      <c r="E8">
        <v>3</v>
      </c>
      <c r="G8" s="5" t="s">
        <v>96</v>
      </c>
      <c r="H8">
        <v>15</v>
      </c>
      <c r="M8" s="5" t="s">
        <v>98</v>
      </c>
      <c r="N8">
        <v>8</v>
      </c>
      <c r="O8">
        <v>11</v>
      </c>
      <c r="P8">
        <v>19</v>
      </c>
      <c r="R8" s="5" t="s">
        <v>25</v>
      </c>
      <c r="S8">
        <v>1369188</v>
      </c>
      <c r="T8">
        <v>238</v>
      </c>
      <c r="V8" s="5" t="s">
        <v>49</v>
      </c>
      <c r="W8">
        <v>14</v>
      </c>
    </row>
    <row r="9" spans="1:23" ht="15.75" thickBot="1">
      <c r="D9" s="5" t="s">
        <v>311</v>
      </c>
      <c r="E9">
        <v>2.9</v>
      </c>
      <c r="G9" s="5" t="s">
        <v>311</v>
      </c>
      <c r="H9">
        <v>100</v>
      </c>
      <c r="M9" s="5" t="s">
        <v>68</v>
      </c>
      <c r="N9">
        <v>8</v>
      </c>
      <c r="O9">
        <v>7</v>
      </c>
      <c r="P9">
        <v>15</v>
      </c>
      <c r="R9" s="5" t="s">
        <v>311</v>
      </c>
      <c r="S9">
        <v>6334341</v>
      </c>
      <c r="T9">
        <v>1050</v>
      </c>
      <c r="V9" s="5" t="s">
        <v>311</v>
      </c>
      <c r="W9">
        <v>100</v>
      </c>
    </row>
    <row r="10" spans="1:23">
      <c r="J10" s="16" t="s">
        <v>44</v>
      </c>
      <c r="K10" s="15">
        <f>GETPIVOTDATA("Employee ID",$K4,"Work Location",$J10)</f>
        <v>38</v>
      </c>
      <c r="M10" s="5" t="s">
        <v>311</v>
      </c>
      <c r="N10">
        <v>49</v>
      </c>
      <c r="O10">
        <v>51</v>
      </c>
      <c r="P10">
        <v>100</v>
      </c>
    </row>
    <row r="11" spans="1:23" ht="15.75" thickBot="1">
      <c r="J11" s="17" t="s">
        <v>30</v>
      </c>
      <c r="K11" s="11">
        <f t="shared" ref="K11:K12" si="0">GETPIVOTDATA("Employee ID",$K5,"Work Location",$J11)</f>
        <v>30</v>
      </c>
    </row>
    <row r="12" spans="1:23" ht="15.75" thickBot="1">
      <c r="C12" s="13" t="s">
        <v>314</v>
      </c>
      <c r="D12" s="14" t="s">
        <v>320</v>
      </c>
      <c r="J12" s="17" t="s">
        <v>54</v>
      </c>
      <c r="K12" s="11">
        <f t="shared" si="0"/>
        <v>32</v>
      </c>
      <c r="S12" s="16" t="s">
        <v>121</v>
      </c>
      <c r="T12" s="35">
        <f>GETPIVOTDATA("Sum of Salary",$S$4,"Job Title",$S12)</f>
        <v>991270</v>
      </c>
      <c r="U12" s="34">
        <f>GETPIVOTDATA("Sum of Leave Taken",$T$4,"Job Title",$S12)</f>
        <v>207</v>
      </c>
    </row>
    <row r="13" spans="1:23" ht="15.75" thickBot="1">
      <c r="C13" s="38" t="s">
        <v>315</v>
      </c>
      <c r="D13" s="10">
        <f>B7</f>
        <v>100</v>
      </c>
      <c r="J13" s="18" t="s">
        <v>323</v>
      </c>
      <c r="K13" s="12">
        <f>SUM($K10:$K12)</f>
        <v>100</v>
      </c>
      <c r="N13" s="13" t="s">
        <v>2</v>
      </c>
      <c r="O13" s="30" t="s">
        <v>323</v>
      </c>
      <c r="P13" s="31" t="s">
        <v>325</v>
      </c>
      <c r="Q13" s="32"/>
      <c r="S13" s="17" t="s">
        <v>40</v>
      </c>
      <c r="T13" s="36">
        <f>GETPIVOTDATA("Sum of Salary",$S$4,"Job Title",$S13)</f>
        <v>1141425</v>
      </c>
      <c r="U13" s="8">
        <f>GETPIVOTDATA("Sum of Leave Taken",$T$4,"Job Title",$S13)</f>
        <v>159</v>
      </c>
    </row>
    <row r="14" spans="1:23">
      <c r="C14" s="39" t="s">
        <v>316</v>
      </c>
      <c r="D14" s="11">
        <f>E9</f>
        <v>2.9</v>
      </c>
      <c r="N14" s="41" t="s">
        <v>37</v>
      </c>
      <c r="O14" s="28">
        <f>IFERROR(GETPIVOTDATA("Employee ID",$O$10,"Gender",$N14), 0)</f>
        <v>51</v>
      </c>
      <c r="P14" s="26">
        <f>IFERROR(SUM($O14)/SUM($O$14:$O$15), 0)</f>
        <v>0.51</v>
      </c>
      <c r="Q14" s="27">
        <f>1-$P14</f>
        <v>0.49</v>
      </c>
      <c r="S14" s="17" t="s">
        <v>72</v>
      </c>
      <c r="T14" s="36">
        <f>GETPIVOTDATA("Sum of Salary",$S$4,"Job Title",$S14)</f>
        <v>1258879</v>
      </c>
      <c r="U14" s="8">
        <f>GETPIVOTDATA("Sum of Leave Taken",$T$4,"Job Title",$S14)</f>
        <v>212</v>
      </c>
    </row>
    <row r="15" spans="1:23" ht="15.75" thickBot="1">
      <c r="C15" s="39" t="s">
        <v>317</v>
      </c>
      <c r="D15" s="11">
        <f>B6</f>
        <v>28</v>
      </c>
      <c r="N15" s="42" t="s">
        <v>22</v>
      </c>
      <c r="O15" s="29">
        <f>IFERROR(GETPIVOTDATA("Employee ID",$O$10,"Gender",$N15),0)</f>
        <v>49</v>
      </c>
      <c r="P15" s="21">
        <f>IFERROR(SUM($O15)/SUM($O$14:$O$15), 0)</f>
        <v>0.49</v>
      </c>
      <c r="Q15" s="22">
        <f>1-P15</f>
        <v>0.51</v>
      </c>
      <c r="S15" s="17" t="s">
        <v>50</v>
      </c>
      <c r="T15" s="36">
        <f>GETPIVOTDATA("Sum of Salary",$S$4,"Job Title",$S15)</f>
        <v>1573579</v>
      </c>
      <c r="U15" s="8">
        <f>GETPIVOTDATA("Sum of Leave Taken",$T$4,"Job Title",$S15)</f>
        <v>234</v>
      </c>
    </row>
    <row r="16" spans="1:23" ht="15.75" thickBot="1">
      <c r="C16" s="39" t="s">
        <v>318</v>
      </c>
      <c r="D16" s="11">
        <f>B5</f>
        <v>41</v>
      </c>
      <c r="J16" s="16" t="s">
        <v>44</v>
      </c>
      <c r="K16" s="23">
        <f>SUM(K10/SUM($K$10:$K$12))</f>
        <v>0.38</v>
      </c>
      <c r="L16" s="19">
        <f>1-K16</f>
        <v>0.62</v>
      </c>
      <c r="S16" s="18" t="s">
        <v>25</v>
      </c>
      <c r="T16" s="37">
        <f>GETPIVOTDATA("Sum of Salary",$S$4,"Job Title",$S16)</f>
        <v>1369188</v>
      </c>
      <c r="U16" s="9">
        <f>GETPIVOTDATA("Sum of Leave Taken",$T$4,"Job Title",$S16)</f>
        <v>238</v>
      </c>
    </row>
    <row r="17" spans="3:21" ht="15.75" thickBot="1">
      <c r="C17" s="40" t="s">
        <v>319</v>
      </c>
      <c r="D17" s="12">
        <f>B4</f>
        <v>31</v>
      </c>
      <c r="J17" s="17" t="s">
        <v>30</v>
      </c>
      <c r="K17" s="24">
        <f t="shared" ref="K17:K18" si="1">SUM(K11/SUM($K$10:$K$12))</f>
        <v>0.3</v>
      </c>
      <c r="L17" s="20">
        <f t="shared" ref="L17:L18" si="2">1-K17</f>
        <v>0.7</v>
      </c>
      <c r="S17" s="44" t="s">
        <v>311</v>
      </c>
      <c r="T17" s="45">
        <f>SUM(T12:T16)</f>
        <v>6334341</v>
      </c>
      <c r="U17" s="46">
        <f>SUM(U12:U16)</f>
        <v>1050</v>
      </c>
    </row>
    <row r="18" spans="3:21" ht="15.75" thickBot="1">
      <c r="J18" s="18" t="s">
        <v>54</v>
      </c>
      <c r="K18" s="25">
        <f t="shared" si="1"/>
        <v>0.32</v>
      </c>
      <c r="L18" s="22">
        <f t="shared" si="2"/>
        <v>0.67999999999999994</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CA852-CABD-42B1-9C0A-F6CB24094178}">
  <sheetPr codeName="Sheet2"/>
  <dimension ref="A1"/>
  <sheetViews>
    <sheetView showGridLines="0" showRowColHeaders="0" tabSelected="1" topLeftCell="F14" zoomScale="32" zoomScaleNormal="27" workbookViewId="0">
      <selection activeCell="BX100" sqref="BX100"/>
    </sheetView>
  </sheetViews>
  <sheetFormatPr defaultRowHeight="15"/>
  <sheetData>
    <row r="1" spans="1:1">
      <c r="A1" s="4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BEE9B-E269-42CB-BD0D-97D554C48290}">
  <sheetPr codeName="Sheet3"/>
  <dimension ref="A1:U101"/>
  <sheetViews>
    <sheetView topLeftCell="H3" workbookViewId="0">
      <selection activeCell="I11" sqref="I11"/>
    </sheetView>
  </sheetViews>
  <sheetFormatPr defaultRowHeight="15"/>
  <cols>
    <col min="1" max="1" width="17.5703125" bestFit="1" customWidth="1"/>
    <col min="2" max="2" width="16.7109375" bestFit="1" customWidth="1"/>
    <col min="3" max="3" width="12.28515625" bestFit="1" customWidth="1"/>
    <col min="4" max="4" width="9.140625" bestFit="1" customWidth="1"/>
    <col min="5" max="5" width="15" bestFit="1" customWidth="1"/>
    <col min="6" max="6" width="12.140625" bestFit="1" customWidth="1"/>
    <col min="7" max="7" width="13.5703125" bestFit="1" customWidth="1"/>
    <col min="8" max="8" width="16.42578125" bestFit="1" customWidth="1"/>
    <col min="9" max="9" width="24.7109375" bestFit="1" customWidth="1"/>
    <col min="10" max="10" width="16.5703125" bestFit="1" customWidth="1"/>
    <col min="11" max="11" width="24.28515625" bestFit="1" customWidth="1"/>
    <col min="12" max="12" width="19.28515625" bestFit="1" customWidth="1"/>
    <col min="13" max="13" width="11.28515625" bestFit="1" customWidth="1"/>
    <col min="14" max="14" width="15.140625" bestFit="1" customWidth="1"/>
    <col min="15" max="15" width="23.28515625" bestFit="1" customWidth="1"/>
    <col min="16" max="16" width="22" bestFit="1" customWidth="1"/>
    <col min="17" max="17" width="17.140625" bestFit="1" customWidth="1"/>
    <col min="18" max="18" width="24.5703125" bestFit="1" customWidth="1"/>
    <col min="19" max="19" width="32.7109375" bestFit="1" customWidth="1"/>
    <col min="20" max="20" width="14.7109375" bestFit="1" customWidth="1"/>
    <col min="21" max="21" width="19.85546875" bestFit="1" customWidth="1"/>
  </cols>
  <sheetData>
    <row r="1" spans="1:2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c r="A2" s="2">
        <v>10001</v>
      </c>
      <c r="B2" s="2" t="s">
        <v>21</v>
      </c>
      <c r="C2" s="2" t="s">
        <v>22</v>
      </c>
      <c r="D2" s="2">
        <v>25</v>
      </c>
      <c r="E2" s="2" t="s">
        <v>23</v>
      </c>
      <c r="F2" s="2" t="s">
        <v>24</v>
      </c>
      <c r="G2" s="2" t="s">
        <v>25</v>
      </c>
      <c r="H2" s="2" t="s">
        <v>26</v>
      </c>
      <c r="I2" s="2" t="s">
        <v>27</v>
      </c>
      <c r="J2" s="2" t="s">
        <v>28</v>
      </c>
      <c r="K2" s="2" t="s">
        <v>29</v>
      </c>
      <c r="L2" s="2" t="s">
        <v>30</v>
      </c>
      <c r="M2" s="2">
        <v>53700</v>
      </c>
      <c r="N2" s="2" t="s">
        <v>31</v>
      </c>
      <c r="O2" s="2">
        <v>1463</v>
      </c>
      <c r="P2" s="2" t="s">
        <v>32</v>
      </c>
      <c r="Q2" s="2">
        <v>1</v>
      </c>
      <c r="R2" s="2">
        <v>1</v>
      </c>
      <c r="S2" s="2" t="s">
        <v>33</v>
      </c>
      <c r="T2" s="2" t="s">
        <v>34</v>
      </c>
      <c r="U2" s="2" t="s">
        <v>35</v>
      </c>
    </row>
    <row r="3" spans="1:21">
      <c r="A3" s="2">
        <v>10002</v>
      </c>
      <c r="B3" s="2" t="s">
        <v>36</v>
      </c>
      <c r="C3" s="2" t="s">
        <v>37</v>
      </c>
      <c r="D3" s="2">
        <v>27</v>
      </c>
      <c r="E3" s="2" t="s">
        <v>38</v>
      </c>
      <c r="F3" s="2" t="s">
        <v>39</v>
      </c>
      <c r="G3" s="2" t="s">
        <v>40</v>
      </c>
      <c r="H3" s="2" t="s">
        <v>41</v>
      </c>
      <c r="I3" s="2" t="s">
        <v>42</v>
      </c>
      <c r="J3" s="2" t="s">
        <v>43</v>
      </c>
      <c r="K3" s="2" t="s">
        <v>29</v>
      </c>
      <c r="L3" s="2" t="s">
        <v>44</v>
      </c>
      <c r="M3" s="2">
        <v>91091</v>
      </c>
      <c r="N3" s="2" t="s">
        <v>45</v>
      </c>
      <c r="O3" s="2">
        <v>1024</v>
      </c>
      <c r="P3" s="2" t="s">
        <v>46</v>
      </c>
      <c r="Q3" s="2">
        <v>19</v>
      </c>
      <c r="R3" s="2">
        <v>4</v>
      </c>
      <c r="S3" s="2" t="s">
        <v>47</v>
      </c>
      <c r="T3" s="2" t="s">
        <v>34</v>
      </c>
      <c r="U3" s="2" t="s">
        <v>35</v>
      </c>
    </row>
    <row r="4" spans="1:21">
      <c r="A4" s="2">
        <v>10003</v>
      </c>
      <c r="B4" s="2" t="s">
        <v>48</v>
      </c>
      <c r="C4" s="2" t="s">
        <v>37</v>
      </c>
      <c r="D4" s="2">
        <v>34</v>
      </c>
      <c r="E4" s="2" t="s">
        <v>38</v>
      </c>
      <c r="F4" s="2" t="s">
        <v>49</v>
      </c>
      <c r="G4" s="2" t="s">
        <v>50</v>
      </c>
      <c r="H4" s="2" t="s">
        <v>51</v>
      </c>
      <c r="I4" s="2" t="s">
        <v>52</v>
      </c>
      <c r="J4" s="2" t="s">
        <v>53</v>
      </c>
      <c r="K4" s="2" t="s">
        <v>29</v>
      </c>
      <c r="L4" s="2" t="s">
        <v>54</v>
      </c>
      <c r="M4" s="2">
        <v>57538</v>
      </c>
      <c r="N4" s="2" t="s">
        <v>55</v>
      </c>
      <c r="O4" s="2">
        <v>1674</v>
      </c>
      <c r="P4" s="2" t="s">
        <v>46</v>
      </c>
      <c r="Q4" s="2">
        <v>8</v>
      </c>
      <c r="R4" s="2">
        <v>1</v>
      </c>
      <c r="S4" s="2" t="s">
        <v>46</v>
      </c>
      <c r="T4" s="2" t="s">
        <v>56</v>
      </c>
      <c r="U4" s="2" t="s">
        <v>57</v>
      </c>
    </row>
    <row r="5" spans="1:21">
      <c r="A5" s="2">
        <v>10004</v>
      </c>
      <c r="B5" s="2" t="s">
        <v>58</v>
      </c>
      <c r="C5" s="2" t="s">
        <v>22</v>
      </c>
      <c r="D5" s="2">
        <v>41</v>
      </c>
      <c r="E5" s="2" t="s">
        <v>59</v>
      </c>
      <c r="F5" s="2" t="s">
        <v>49</v>
      </c>
      <c r="G5" s="2" t="s">
        <v>25</v>
      </c>
      <c r="H5" s="2" t="s">
        <v>60</v>
      </c>
      <c r="I5" s="2" t="s">
        <v>61</v>
      </c>
      <c r="J5" s="2" t="s">
        <v>62</v>
      </c>
      <c r="K5" s="2" t="s">
        <v>63</v>
      </c>
      <c r="L5" s="2" t="s">
        <v>30</v>
      </c>
      <c r="M5" s="2">
        <v>62993</v>
      </c>
      <c r="N5" s="2" t="s">
        <v>64</v>
      </c>
      <c r="O5" s="2">
        <v>2695</v>
      </c>
      <c r="P5" s="2" t="s">
        <v>65</v>
      </c>
      <c r="Q5" s="2">
        <v>0</v>
      </c>
      <c r="R5" s="2">
        <v>2</v>
      </c>
      <c r="S5" s="2" t="s">
        <v>46</v>
      </c>
      <c r="T5" s="2" t="s">
        <v>66</v>
      </c>
      <c r="U5" s="2" t="s">
        <v>46</v>
      </c>
    </row>
    <row r="6" spans="1:21">
      <c r="A6" s="2">
        <v>10005</v>
      </c>
      <c r="B6" s="2" t="s">
        <v>67</v>
      </c>
      <c r="C6" s="2" t="s">
        <v>37</v>
      </c>
      <c r="D6" s="2">
        <v>56</v>
      </c>
      <c r="E6" s="2" t="s">
        <v>68</v>
      </c>
      <c r="F6" s="2" t="s">
        <v>24</v>
      </c>
      <c r="G6" s="2" t="s">
        <v>25</v>
      </c>
      <c r="H6" s="2" t="s">
        <v>51</v>
      </c>
      <c r="I6" s="2" t="s">
        <v>69</v>
      </c>
      <c r="J6" s="2" t="s">
        <v>70</v>
      </c>
      <c r="K6" s="2" t="s">
        <v>63</v>
      </c>
      <c r="L6" s="2" t="s">
        <v>44</v>
      </c>
      <c r="M6" s="2">
        <v>45773</v>
      </c>
      <c r="N6" s="2" t="s">
        <v>64</v>
      </c>
      <c r="O6" s="2">
        <v>8776</v>
      </c>
      <c r="P6" s="2" t="s">
        <v>32</v>
      </c>
      <c r="Q6" s="2">
        <v>16</v>
      </c>
      <c r="R6" s="2">
        <v>4</v>
      </c>
      <c r="S6" s="2" t="s">
        <v>33</v>
      </c>
      <c r="T6" s="2" t="s">
        <v>66</v>
      </c>
      <c r="U6" s="2" t="s">
        <v>46</v>
      </c>
    </row>
    <row r="7" spans="1:21">
      <c r="A7" s="2">
        <v>10006</v>
      </c>
      <c r="B7" s="2" t="s">
        <v>71</v>
      </c>
      <c r="C7" s="2" t="s">
        <v>22</v>
      </c>
      <c r="D7" s="2">
        <v>28</v>
      </c>
      <c r="E7" s="2" t="s">
        <v>38</v>
      </c>
      <c r="F7" s="2" t="s">
        <v>49</v>
      </c>
      <c r="G7" s="2" t="s">
        <v>72</v>
      </c>
      <c r="H7" s="2" t="s">
        <v>51</v>
      </c>
      <c r="I7" s="2" t="s">
        <v>73</v>
      </c>
      <c r="J7" s="2" t="s">
        <v>74</v>
      </c>
      <c r="K7" s="2" t="s">
        <v>29</v>
      </c>
      <c r="L7" s="2" t="s">
        <v>44</v>
      </c>
      <c r="M7" s="2">
        <v>96249</v>
      </c>
      <c r="N7" s="2" t="s">
        <v>31</v>
      </c>
      <c r="O7" s="2">
        <v>4826</v>
      </c>
      <c r="P7" s="2" t="s">
        <v>65</v>
      </c>
      <c r="Q7" s="2">
        <v>7</v>
      </c>
      <c r="R7" s="2">
        <v>3</v>
      </c>
      <c r="S7" s="2" t="s">
        <v>33</v>
      </c>
      <c r="T7" s="2" t="s">
        <v>75</v>
      </c>
      <c r="U7" s="2" t="s">
        <v>35</v>
      </c>
    </row>
    <row r="8" spans="1:21">
      <c r="A8" s="2">
        <v>10007</v>
      </c>
      <c r="B8" s="2" t="s">
        <v>76</v>
      </c>
      <c r="C8" s="2" t="s">
        <v>22</v>
      </c>
      <c r="D8" s="2">
        <v>20</v>
      </c>
      <c r="E8" s="2" t="s">
        <v>23</v>
      </c>
      <c r="F8" s="2" t="s">
        <v>39</v>
      </c>
      <c r="G8" s="2" t="s">
        <v>50</v>
      </c>
      <c r="H8" s="2" t="s">
        <v>51</v>
      </c>
      <c r="I8" s="2" t="s">
        <v>77</v>
      </c>
      <c r="J8" s="2" t="s">
        <v>78</v>
      </c>
      <c r="K8" s="2" t="s">
        <v>29</v>
      </c>
      <c r="L8" s="2" t="s">
        <v>54</v>
      </c>
      <c r="M8" s="2">
        <v>61596</v>
      </c>
      <c r="N8" s="2" t="s">
        <v>31</v>
      </c>
      <c r="O8" s="2">
        <v>8818</v>
      </c>
      <c r="P8" s="2" t="s">
        <v>65</v>
      </c>
      <c r="Q8" s="2">
        <v>4</v>
      </c>
      <c r="R8" s="2">
        <v>2</v>
      </c>
      <c r="S8" s="2" t="s">
        <v>33</v>
      </c>
      <c r="T8" s="2" t="s">
        <v>56</v>
      </c>
      <c r="U8" s="2" t="s">
        <v>46</v>
      </c>
    </row>
    <row r="9" spans="1:21">
      <c r="A9" s="2">
        <v>10008</v>
      </c>
      <c r="B9" s="2" t="s">
        <v>79</v>
      </c>
      <c r="C9" s="2" t="s">
        <v>22</v>
      </c>
      <c r="D9" s="2">
        <v>58</v>
      </c>
      <c r="E9" s="2" t="s">
        <v>68</v>
      </c>
      <c r="F9" s="2" t="s">
        <v>80</v>
      </c>
      <c r="G9" s="2" t="s">
        <v>40</v>
      </c>
      <c r="H9" s="2" t="s">
        <v>81</v>
      </c>
      <c r="I9" s="2" t="s">
        <v>82</v>
      </c>
      <c r="J9" s="2" t="s">
        <v>83</v>
      </c>
      <c r="K9" s="2" t="s">
        <v>29</v>
      </c>
      <c r="L9" s="2" t="s">
        <v>54</v>
      </c>
      <c r="M9" s="2">
        <v>97869</v>
      </c>
      <c r="N9" s="2" t="s">
        <v>64</v>
      </c>
      <c r="O9" s="2">
        <v>1966</v>
      </c>
      <c r="P9" s="2" t="s">
        <v>32</v>
      </c>
      <c r="Q9" s="2">
        <v>10</v>
      </c>
      <c r="R9" s="2">
        <v>1</v>
      </c>
      <c r="S9" s="2" t="s">
        <v>33</v>
      </c>
      <c r="T9" s="2" t="s">
        <v>34</v>
      </c>
      <c r="U9" s="2" t="s">
        <v>35</v>
      </c>
    </row>
    <row r="10" spans="1:21">
      <c r="A10" s="2">
        <v>10009</v>
      </c>
      <c r="B10" s="2" t="s">
        <v>84</v>
      </c>
      <c r="C10" s="2" t="s">
        <v>22</v>
      </c>
      <c r="D10" s="2">
        <v>44</v>
      </c>
      <c r="E10" s="2" t="s">
        <v>59</v>
      </c>
      <c r="F10" s="2" t="s">
        <v>80</v>
      </c>
      <c r="G10" s="2" t="s">
        <v>50</v>
      </c>
      <c r="H10" s="2" t="s">
        <v>51</v>
      </c>
      <c r="I10" s="2" t="s">
        <v>85</v>
      </c>
      <c r="J10" s="2" t="s">
        <v>86</v>
      </c>
      <c r="K10" s="2" t="s">
        <v>29</v>
      </c>
      <c r="L10" s="2" t="s">
        <v>30</v>
      </c>
      <c r="M10" s="2">
        <v>81235</v>
      </c>
      <c r="N10" s="2" t="s">
        <v>64</v>
      </c>
      <c r="O10" s="2">
        <v>6553</v>
      </c>
      <c r="P10" s="2" t="s">
        <v>46</v>
      </c>
      <c r="Q10" s="2">
        <v>16</v>
      </c>
      <c r="R10" s="2">
        <v>2</v>
      </c>
      <c r="S10" s="2" t="s">
        <v>46</v>
      </c>
      <c r="T10" s="2" t="s">
        <v>56</v>
      </c>
      <c r="U10" s="2" t="s">
        <v>35</v>
      </c>
    </row>
    <row r="11" spans="1:21">
      <c r="A11" s="2">
        <v>10010</v>
      </c>
      <c r="B11" s="2" t="s">
        <v>87</v>
      </c>
      <c r="C11" s="2" t="s">
        <v>22</v>
      </c>
      <c r="D11" s="2">
        <v>29</v>
      </c>
      <c r="E11" s="2" t="s">
        <v>38</v>
      </c>
      <c r="F11" s="2" t="s">
        <v>39</v>
      </c>
      <c r="G11" s="2" t="s">
        <v>50</v>
      </c>
      <c r="H11" s="2" t="s">
        <v>60</v>
      </c>
      <c r="I11" s="2" t="s">
        <v>88</v>
      </c>
      <c r="J11" s="2" t="s">
        <v>89</v>
      </c>
      <c r="K11" s="2" t="s">
        <v>29</v>
      </c>
      <c r="L11" s="2" t="s">
        <v>44</v>
      </c>
      <c r="M11" s="2">
        <v>87852</v>
      </c>
      <c r="N11" s="2" t="s">
        <v>64</v>
      </c>
      <c r="O11" s="2">
        <v>4980</v>
      </c>
      <c r="P11" s="2" t="s">
        <v>65</v>
      </c>
      <c r="Q11" s="2">
        <v>19</v>
      </c>
      <c r="R11" s="2">
        <v>3</v>
      </c>
      <c r="S11" s="2" t="s">
        <v>46</v>
      </c>
      <c r="T11" s="2" t="s">
        <v>66</v>
      </c>
      <c r="U11" s="2" t="s">
        <v>35</v>
      </c>
    </row>
    <row r="12" spans="1:21">
      <c r="A12" s="2">
        <v>10011</v>
      </c>
      <c r="B12" s="2" t="s">
        <v>90</v>
      </c>
      <c r="C12" s="2" t="s">
        <v>37</v>
      </c>
      <c r="D12" s="2">
        <v>23</v>
      </c>
      <c r="E12" s="2" t="s">
        <v>23</v>
      </c>
      <c r="F12" s="2" t="s">
        <v>80</v>
      </c>
      <c r="G12" s="2" t="s">
        <v>25</v>
      </c>
      <c r="H12" s="2" t="s">
        <v>51</v>
      </c>
      <c r="I12" s="2" t="s">
        <v>91</v>
      </c>
      <c r="J12" s="2" t="s">
        <v>92</v>
      </c>
      <c r="K12" s="2" t="s">
        <v>63</v>
      </c>
      <c r="L12" s="2" t="s">
        <v>44</v>
      </c>
      <c r="M12" s="2">
        <v>59359</v>
      </c>
      <c r="N12" s="2" t="s">
        <v>64</v>
      </c>
      <c r="O12" s="2">
        <v>9449</v>
      </c>
      <c r="P12" s="2" t="s">
        <v>65</v>
      </c>
      <c r="Q12" s="2">
        <v>20</v>
      </c>
      <c r="R12" s="2">
        <v>3</v>
      </c>
      <c r="S12" s="2" t="s">
        <v>46</v>
      </c>
      <c r="T12" s="2" t="s">
        <v>56</v>
      </c>
      <c r="U12" s="2" t="s">
        <v>46</v>
      </c>
    </row>
    <row r="13" spans="1:21">
      <c r="A13" s="2">
        <v>10012</v>
      </c>
      <c r="B13" s="2" t="s">
        <v>93</v>
      </c>
      <c r="C13" s="2" t="s">
        <v>37</v>
      </c>
      <c r="D13" s="2">
        <v>30</v>
      </c>
      <c r="E13" s="2" t="s">
        <v>38</v>
      </c>
      <c r="F13" s="2" t="s">
        <v>24</v>
      </c>
      <c r="G13" s="2" t="s">
        <v>40</v>
      </c>
      <c r="H13" s="2" t="s">
        <v>26</v>
      </c>
      <c r="I13" s="2" t="s">
        <v>94</v>
      </c>
      <c r="J13" s="2" t="s">
        <v>95</v>
      </c>
      <c r="K13" s="2" t="s">
        <v>63</v>
      </c>
      <c r="L13" s="2" t="s">
        <v>54</v>
      </c>
      <c r="M13" s="2">
        <v>81225</v>
      </c>
      <c r="N13" s="2" t="s">
        <v>55</v>
      </c>
      <c r="O13" s="2">
        <v>6202</v>
      </c>
      <c r="P13" s="2" t="s">
        <v>65</v>
      </c>
      <c r="Q13" s="2">
        <v>2</v>
      </c>
      <c r="R13" s="2">
        <v>2</v>
      </c>
      <c r="S13" s="2" t="s">
        <v>47</v>
      </c>
      <c r="T13" s="2" t="s">
        <v>96</v>
      </c>
      <c r="U13" s="2" t="s">
        <v>35</v>
      </c>
    </row>
    <row r="14" spans="1:21">
      <c r="A14" s="2">
        <v>10013</v>
      </c>
      <c r="B14" s="2" t="s">
        <v>97</v>
      </c>
      <c r="C14" s="2" t="s">
        <v>22</v>
      </c>
      <c r="D14" s="2">
        <v>49</v>
      </c>
      <c r="E14" s="2" t="s">
        <v>98</v>
      </c>
      <c r="F14" s="2" t="s">
        <v>39</v>
      </c>
      <c r="G14" s="2" t="s">
        <v>25</v>
      </c>
      <c r="H14" s="2" t="s">
        <v>26</v>
      </c>
      <c r="I14" s="2" t="s">
        <v>99</v>
      </c>
      <c r="J14" s="2" t="s">
        <v>100</v>
      </c>
      <c r="K14" s="2" t="s">
        <v>63</v>
      </c>
      <c r="L14" s="2" t="s">
        <v>30</v>
      </c>
      <c r="M14" s="2">
        <v>32788</v>
      </c>
      <c r="N14" s="2" t="s">
        <v>55</v>
      </c>
      <c r="O14" s="2">
        <v>4396</v>
      </c>
      <c r="P14" s="2" t="s">
        <v>32</v>
      </c>
      <c r="Q14" s="2">
        <v>13</v>
      </c>
      <c r="R14" s="2">
        <v>5</v>
      </c>
      <c r="S14" s="2" t="s">
        <v>46</v>
      </c>
      <c r="T14" s="2" t="s">
        <v>75</v>
      </c>
      <c r="U14" s="2" t="s">
        <v>57</v>
      </c>
    </row>
    <row r="15" spans="1:21">
      <c r="A15" s="2">
        <v>10014</v>
      </c>
      <c r="B15" s="2" t="s">
        <v>101</v>
      </c>
      <c r="C15" s="2" t="s">
        <v>37</v>
      </c>
      <c r="D15" s="2">
        <v>60</v>
      </c>
      <c r="E15" s="2" t="s">
        <v>68</v>
      </c>
      <c r="F15" s="2" t="s">
        <v>102</v>
      </c>
      <c r="G15" s="2" t="s">
        <v>25</v>
      </c>
      <c r="H15" s="2" t="s">
        <v>60</v>
      </c>
      <c r="I15" s="2" t="s">
        <v>103</v>
      </c>
      <c r="J15" s="2" t="s">
        <v>104</v>
      </c>
      <c r="K15" s="2" t="s">
        <v>63</v>
      </c>
      <c r="L15" s="2" t="s">
        <v>54</v>
      </c>
      <c r="M15" s="2">
        <v>70452</v>
      </c>
      <c r="N15" s="2" t="s">
        <v>55</v>
      </c>
      <c r="O15" s="2">
        <v>9911</v>
      </c>
      <c r="P15" s="2" t="s">
        <v>46</v>
      </c>
      <c r="Q15" s="2">
        <v>2</v>
      </c>
      <c r="R15" s="2">
        <v>1</v>
      </c>
      <c r="S15" s="2" t="s">
        <v>46</v>
      </c>
      <c r="T15" s="2" t="s">
        <v>75</v>
      </c>
      <c r="U15" s="2" t="s">
        <v>35</v>
      </c>
    </row>
    <row r="16" spans="1:21">
      <c r="A16" s="2">
        <v>10015</v>
      </c>
      <c r="B16" s="2" t="s">
        <v>105</v>
      </c>
      <c r="C16" s="2" t="s">
        <v>37</v>
      </c>
      <c r="D16" s="2">
        <v>46</v>
      </c>
      <c r="E16" s="2" t="s">
        <v>98</v>
      </c>
      <c r="F16" s="2" t="s">
        <v>39</v>
      </c>
      <c r="G16" s="2" t="s">
        <v>72</v>
      </c>
      <c r="H16" s="2" t="s">
        <v>26</v>
      </c>
      <c r="I16" s="2" t="s">
        <v>106</v>
      </c>
      <c r="J16" s="2" t="s">
        <v>107</v>
      </c>
      <c r="K16" s="2" t="s">
        <v>29</v>
      </c>
      <c r="L16" s="2" t="s">
        <v>44</v>
      </c>
      <c r="M16" s="2">
        <v>33045</v>
      </c>
      <c r="N16" s="2" t="s">
        <v>45</v>
      </c>
      <c r="O16" s="2">
        <v>1456</v>
      </c>
      <c r="P16" s="2" t="s">
        <v>46</v>
      </c>
      <c r="Q16" s="2">
        <v>16</v>
      </c>
      <c r="R16" s="2">
        <v>3</v>
      </c>
      <c r="S16" s="2" t="s">
        <v>47</v>
      </c>
      <c r="T16" s="2" t="s">
        <v>75</v>
      </c>
      <c r="U16" s="2" t="s">
        <v>46</v>
      </c>
    </row>
    <row r="17" spans="1:21">
      <c r="A17" s="2">
        <v>10016</v>
      </c>
      <c r="B17" s="2" t="s">
        <v>108</v>
      </c>
      <c r="C17" s="2" t="s">
        <v>37</v>
      </c>
      <c r="D17" s="2">
        <v>57</v>
      </c>
      <c r="E17" s="2" t="s">
        <v>68</v>
      </c>
      <c r="F17" s="2" t="s">
        <v>49</v>
      </c>
      <c r="G17" s="2" t="s">
        <v>72</v>
      </c>
      <c r="H17" s="2" t="s">
        <v>41</v>
      </c>
      <c r="I17" s="2" t="s">
        <v>109</v>
      </c>
      <c r="J17" s="2" t="s">
        <v>110</v>
      </c>
      <c r="K17" s="2" t="s">
        <v>111</v>
      </c>
      <c r="L17" s="2" t="s">
        <v>54</v>
      </c>
      <c r="M17" s="2">
        <v>96429</v>
      </c>
      <c r="N17" s="2" t="s">
        <v>31</v>
      </c>
      <c r="O17" s="2">
        <v>4740</v>
      </c>
      <c r="P17" s="2" t="s">
        <v>46</v>
      </c>
      <c r="Q17" s="2">
        <v>8</v>
      </c>
      <c r="R17" s="2">
        <v>1</v>
      </c>
      <c r="S17" s="2" t="s">
        <v>47</v>
      </c>
      <c r="T17" s="2" t="s">
        <v>66</v>
      </c>
      <c r="U17" s="2" t="s">
        <v>46</v>
      </c>
    </row>
    <row r="18" spans="1:21">
      <c r="A18" s="2">
        <v>10017</v>
      </c>
      <c r="B18" s="2" t="s">
        <v>112</v>
      </c>
      <c r="C18" s="2" t="s">
        <v>22</v>
      </c>
      <c r="D18" s="2">
        <v>24</v>
      </c>
      <c r="E18" s="2" t="s">
        <v>23</v>
      </c>
      <c r="F18" s="2" t="s">
        <v>39</v>
      </c>
      <c r="G18" s="2" t="s">
        <v>50</v>
      </c>
      <c r="H18" s="2" t="s">
        <v>51</v>
      </c>
      <c r="I18" s="2" t="s">
        <v>113</v>
      </c>
      <c r="J18" s="2" t="s">
        <v>114</v>
      </c>
      <c r="K18" s="2" t="s">
        <v>111</v>
      </c>
      <c r="L18" s="2" t="s">
        <v>54</v>
      </c>
      <c r="M18" s="2">
        <v>33183</v>
      </c>
      <c r="N18" s="2" t="s">
        <v>64</v>
      </c>
      <c r="O18" s="2">
        <v>8114</v>
      </c>
      <c r="P18" s="2" t="s">
        <v>46</v>
      </c>
      <c r="Q18" s="2">
        <v>4</v>
      </c>
      <c r="R18" s="2">
        <v>2</v>
      </c>
      <c r="S18" s="2" t="s">
        <v>47</v>
      </c>
      <c r="T18" s="2" t="s">
        <v>96</v>
      </c>
      <c r="U18" s="2" t="s">
        <v>57</v>
      </c>
    </row>
    <row r="19" spans="1:21">
      <c r="A19" s="2">
        <v>10018</v>
      </c>
      <c r="B19" s="2" t="s">
        <v>58</v>
      </c>
      <c r="C19" s="2" t="s">
        <v>22</v>
      </c>
      <c r="D19" s="2">
        <v>35</v>
      </c>
      <c r="E19" s="2" t="s">
        <v>38</v>
      </c>
      <c r="F19" s="2" t="s">
        <v>102</v>
      </c>
      <c r="G19" s="2" t="s">
        <v>72</v>
      </c>
      <c r="H19" s="2" t="s">
        <v>26</v>
      </c>
      <c r="I19" s="2" t="s">
        <v>115</v>
      </c>
      <c r="J19" s="2" t="s">
        <v>116</v>
      </c>
      <c r="K19" s="2" t="s">
        <v>111</v>
      </c>
      <c r="L19" s="2" t="s">
        <v>30</v>
      </c>
      <c r="M19" s="2">
        <v>75065</v>
      </c>
      <c r="N19" s="2" t="s">
        <v>31</v>
      </c>
      <c r="O19" s="2">
        <v>7123</v>
      </c>
      <c r="P19" s="2" t="s">
        <v>46</v>
      </c>
      <c r="Q19" s="2">
        <v>20</v>
      </c>
      <c r="R19" s="2">
        <v>2</v>
      </c>
      <c r="S19" s="2" t="s">
        <v>46</v>
      </c>
      <c r="T19" s="2" t="s">
        <v>34</v>
      </c>
      <c r="U19" s="2" t="s">
        <v>57</v>
      </c>
    </row>
    <row r="20" spans="1:21">
      <c r="A20" s="2">
        <v>10019</v>
      </c>
      <c r="B20" s="2" t="s">
        <v>117</v>
      </c>
      <c r="C20" s="2" t="s">
        <v>37</v>
      </c>
      <c r="D20" s="2">
        <v>41</v>
      </c>
      <c r="E20" s="2" t="s">
        <v>59</v>
      </c>
      <c r="F20" s="2" t="s">
        <v>39</v>
      </c>
      <c r="G20" s="2" t="s">
        <v>40</v>
      </c>
      <c r="H20" s="2" t="s">
        <v>81</v>
      </c>
      <c r="I20" s="2" t="s">
        <v>118</v>
      </c>
      <c r="J20" s="2" t="s">
        <v>119</v>
      </c>
      <c r="K20" s="2" t="s">
        <v>29</v>
      </c>
      <c r="L20" s="2" t="s">
        <v>54</v>
      </c>
      <c r="M20" s="2">
        <v>32877</v>
      </c>
      <c r="N20" s="2" t="s">
        <v>31</v>
      </c>
      <c r="O20" s="2">
        <v>6432</v>
      </c>
      <c r="P20" s="2" t="s">
        <v>32</v>
      </c>
      <c r="Q20" s="2">
        <v>11</v>
      </c>
      <c r="R20" s="2">
        <v>1</v>
      </c>
      <c r="S20" s="2" t="s">
        <v>46</v>
      </c>
      <c r="T20" s="2" t="s">
        <v>34</v>
      </c>
      <c r="U20" s="2" t="s">
        <v>46</v>
      </c>
    </row>
    <row r="21" spans="1:21">
      <c r="A21" s="2">
        <v>10020</v>
      </c>
      <c r="B21" s="2" t="s">
        <v>120</v>
      </c>
      <c r="C21" s="2" t="s">
        <v>37</v>
      </c>
      <c r="D21" s="2">
        <v>36</v>
      </c>
      <c r="E21" s="2" t="s">
        <v>59</v>
      </c>
      <c r="F21" s="2" t="s">
        <v>39</v>
      </c>
      <c r="G21" s="2" t="s">
        <v>121</v>
      </c>
      <c r="H21" s="2" t="s">
        <v>60</v>
      </c>
      <c r="I21" s="2" t="s">
        <v>122</v>
      </c>
      <c r="J21" s="2" t="s">
        <v>123</v>
      </c>
      <c r="K21" s="2" t="s">
        <v>29</v>
      </c>
      <c r="L21" s="2" t="s">
        <v>44</v>
      </c>
      <c r="M21" s="2">
        <v>46811</v>
      </c>
      <c r="N21" s="2" t="s">
        <v>55</v>
      </c>
      <c r="O21" s="2">
        <v>1567</v>
      </c>
      <c r="P21" s="2" t="s">
        <v>46</v>
      </c>
      <c r="Q21" s="2">
        <v>7</v>
      </c>
      <c r="R21" s="2">
        <v>3</v>
      </c>
      <c r="S21" s="2" t="s">
        <v>47</v>
      </c>
      <c r="T21" s="2" t="s">
        <v>34</v>
      </c>
      <c r="U21" s="2" t="s">
        <v>57</v>
      </c>
    </row>
    <row r="22" spans="1:21">
      <c r="A22" s="2">
        <v>10021</v>
      </c>
      <c r="B22" s="2" t="s">
        <v>124</v>
      </c>
      <c r="C22" s="2" t="s">
        <v>37</v>
      </c>
      <c r="D22" s="2">
        <v>31</v>
      </c>
      <c r="E22" s="2" t="s">
        <v>38</v>
      </c>
      <c r="F22" s="2" t="s">
        <v>80</v>
      </c>
      <c r="G22" s="2" t="s">
        <v>50</v>
      </c>
      <c r="H22" s="2" t="s">
        <v>41</v>
      </c>
      <c r="I22" s="2" t="s">
        <v>125</v>
      </c>
      <c r="J22" s="2" t="s">
        <v>126</v>
      </c>
      <c r="K22" s="2" t="s">
        <v>63</v>
      </c>
      <c r="L22" s="2" t="s">
        <v>44</v>
      </c>
      <c r="M22" s="2">
        <v>87538</v>
      </c>
      <c r="N22" s="2" t="s">
        <v>31</v>
      </c>
      <c r="O22" s="2">
        <v>3588</v>
      </c>
      <c r="P22" s="2" t="s">
        <v>65</v>
      </c>
      <c r="Q22" s="2">
        <v>11</v>
      </c>
      <c r="R22" s="2">
        <v>5</v>
      </c>
      <c r="S22" s="2" t="s">
        <v>47</v>
      </c>
      <c r="T22" s="2" t="s">
        <v>66</v>
      </c>
      <c r="U22" s="2" t="s">
        <v>46</v>
      </c>
    </row>
    <row r="23" spans="1:21">
      <c r="A23" s="2">
        <v>10022</v>
      </c>
      <c r="B23" s="2" t="s">
        <v>127</v>
      </c>
      <c r="C23" s="2" t="s">
        <v>22</v>
      </c>
      <c r="D23" s="2">
        <v>28</v>
      </c>
      <c r="E23" s="2" t="s">
        <v>38</v>
      </c>
      <c r="F23" s="2" t="s">
        <v>24</v>
      </c>
      <c r="G23" s="2" t="s">
        <v>40</v>
      </c>
      <c r="H23" s="2" t="s">
        <v>81</v>
      </c>
      <c r="I23" s="2" t="s">
        <v>128</v>
      </c>
      <c r="J23" s="2" t="s">
        <v>129</v>
      </c>
      <c r="K23" s="2" t="s">
        <v>29</v>
      </c>
      <c r="L23" s="2" t="s">
        <v>44</v>
      </c>
      <c r="M23" s="2">
        <v>73002</v>
      </c>
      <c r="N23" s="2" t="s">
        <v>31</v>
      </c>
      <c r="O23" s="2">
        <v>6296</v>
      </c>
      <c r="P23" s="2" t="s">
        <v>32</v>
      </c>
      <c r="Q23" s="2">
        <v>2</v>
      </c>
      <c r="R23" s="2">
        <v>5</v>
      </c>
      <c r="S23" s="2" t="s">
        <v>47</v>
      </c>
      <c r="T23" s="2" t="s">
        <v>56</v>
      </c>
      <c r="U23" s="2" t="s">
        <v>35</v>
      </c>
    </row>
    <row r="24" spans="1:21">
      <c r="A24" s="2">
        <v>10023</v>
      </c>
      <c r="B24" s="2" t="s">
        <v>130</v>
      </c>
      <c r="C24" s="2" t="s">
        <v>37</v>
      </c>
      <c r="D24" s="2">
        <v>37</v>
      </c>
      <c r="E24" s="2" t="s">
        <v>59</v>
      </c>
      <c r="F24" s="2" t="s">
        <v>80</v>
      </c>
      <c r="G24" s="2" t="s">
        <v>40</v>
      </c>
      <c r="H24" s="2" t="s">
        <v>60</v>
      </c>
      <c r="I24" s="2" t="s">
        <v>131</v>
      </c>
      <c r="J24" s="2" t="s">
        <v>132</v>
      </c>
      <c r="K24" s="2" t="s">
        <v>111</v>
      </c>
      <c r="L24" s="2" t="s">
        <v>54</v>
      </c>
      <c r="M24" s="2">
        <v>41653</v>
      </c>
      <c r="N24" s="2" t="s">
        <v>55</v>
      </c>
      <c r="O24" s="2">
        <v>9236</v>
      </c>
      <c r="P24" s="2" t="s">
        <v>46</v>
      </c>
      <c r="Q24" s="2">
        <v>13</v>
      </c>
      <c r="R24" s="2">
        <v>1</v>
      </c>
      <c r="S24" s="2" t="s">
        <v>47</v>
      </c>
      <c r="T24" s="2" t="s">
        <v>34</v>
      </c>
      <c r="U24" s="2" t="s">
        <v>46</v>
      </c>
    </row>
    <row r="25" spans="1:21">
      <c r="A25" s="2">
        <v>10024</v>
      </c>
      <c r="B25" s="2" t="s">
        <v>133</v>
      </c>
      <c r="C25" s="2" t="s">
        <v>22</v>
      </c>
      <c r="D25" s="2">
        <v>31</v>
      </c>
      <c r="E25" s="2" t="s">
        <v>38</v>
      </c>
      <c r="F25" s="2" t="s">
        <v>24</v>
      </c>
      <c r="G25" s="2" t="s">
        <v>25</v>
      </c>
      <c r="H25" s="2" t="s">
        <v>51</v>
      </c>
      <c r="I25" s="2" t="s">
        <v>134</v>
      </c>
      <c r="J25" s="2" t="s">
        <v>135</v>
      </c>
      <c r="K25" s="2" t="s">
        <v>63</v>
      </c>
      <c r="L25" s="2" t="s">
        <v>44</v>
      </c>
      <c r="M25" s="2">
        <v>67582</v>
      </c>
      <c r="N25" s="2" t="s">
        <v>64</v>
      </c>
      <c r="O25" s="2">
        <v>1375</v>
      </c>
      <c r="P25" s="2" t="s">
        <v>32</v>
      </c>
      <c r="Q25" s="2">
        <v>20</v>
      </c>
      <c r="R25" s="2">
        <v>3</v>
      </c>
      <c r="S25" s="2" t="s">
        <v>47</v>
      </c>
      <c r="T25" s="2" t="s">
        <v>56</v>
      </c>
      <c r="U25" s="2" t="s">
        <v>46</v>
      </c>
    </row>
    <row r="26" spans="1:21">
      <c r="A26" s="2">
        <v>10025</v>
      </c>
      <c r="B26" s="2" t="s">
        <v>136</v>
      </c>
      <c r="C26" s="2" t="s">
        <v>22</v>
      </c>
      <c r="D26" s="2">
        <v>23</v>
      </c>
      <c r="E26" s="2" t="s">
        <v>23</v>
      </c>
      <c r="F26" s="2" t="s">
        <v>80</v>
      </c>
      <c r="G26" s="2" t="s">
        <v>40</v>
      </c>
      <c r="H26" s="2" t="s">
        <v>41</v>
      </c>
      <c r="I26" s="2" t="s">
        <v>137</v>
      </c>
      <c r="J26" s="2" t="s">
        <v>138</v>
      </c>
      <c r="K26" s="2" t="s">
        <v>111</v>
      </c>
      <c r="L26" s="2" t="s">
        <v>44</v>
      </c>
      <c r="M26" s="2">
        <v>37351</v>
      </c>
      <c r="N26" s="2" t="s">
        <v>55</v>
      </c>
      <c r="O26" s="2">
        <v>7858</v>
      </c>
      <c r="P26" s="2" t="s">
        <v>65</v>
      </c>
      <c r="Q26" s="2">
        <v>18</v>
      </c>
      <c r="R26" s="2">
        <v>2</v>
      </c>
      <c r="S26" s="2" t="s">
        <v>33</v>
      </c>
      <c r="T26" s="2" t="s">
        <v>56</v>
      </c>
      <c r="U26" s="2" t="s">
        <v>57</v>
      </c>
    </row>
    <row r="27" spans="1:21">
      <c r="A27" s="2">
        <v>10026</v>
      </c>
      <c r="B27" s="2" t="s">
        <v>139</v>
      </c>
      <c r="C27" s="2" t="s">
        <v>22</v>
      </c>
      <c r="D27" s="2">
        <v>48</v>
      </c>
      <c r="E27" s="2" t="s">
        <v>98</v>
      </c>
      <c r="F27" s="2" t="s">
        <v>102</v>
      </c>
      <c r="G27" s="2" t="s">
        <v>50</v>
      </c>
      <c r="H27" s="2" t="s">
        <v>26</v>
      </c>
      <c r="I27" s="2" t="s">
        <v>140</v>
      </c>
      <c r="J27" s="2" t="s">
        <v>141</v>
      </c>
      <c r="K27" s="2" t="s">
        <v>29</v>
      </c>
      <c r="L27" s="2" t="s">
        <v>44</v>
      </c>
      <c r="M27" s="2">
        <v>36721</v>
      </c>
      <c r="N27" s="2" t="s">
        <v>45</v>
      </c>
      <c r="O27" s="2">
        <v>8820</v>
      </c>
      <c r="P27" s="2" t="s">
        <v>65</v>
      </c>
      <c r="Q27" s="2">
        <v>0</v>
      </c>
      <c r="R27" s="2">
        <v>2</v>
      </c>
      <c r="S27" s="2" t="s">
        <v>47</v>
      </c>
      <c r="T27" s="2" t="s">
        <v>56</v>
      </c>
      <c r="U27" s="2" t="s">
        <v>35</v>
      </c>
    </row>
    <row r="28" spans="1:21">
      <c r="A28" s="2">
        <v>10027</v>
      </c>
      <c r="B28" s="2" t="s">
        <v>142</v>
      </c>
      <c r="C28" s="2" t="s">
        <v>37</v>
      </c>
      <c r="D28" s="2">
        <v>28</v>
      </c>
      <c r="E28" s="2" t="s">
        <v>38</v>
      </c>
      <c r="F28" s="2" t="s">
        <v>49</v>
      </c>
      <c r="G28" s="2" t="s">
        <v>121</v>
      </c>
      <c r="H28" s="2" t="s">
        <v>26</v>
      </c>
      <c r="I28" s="2" t="s">
        <v>143</v>
      </c>
      <c r="J28" s="2" t="s">
        <v>144</v>
      </c>
      <c r="K28" s="2" t="s">
        <v>63</v>
      </c>
      <c r="L28" s="2" t="s">
        <v>54</v>
      </c>
      <c r="M28" s="2">
        <v>46326</v>
      </c>
      <c r="N28" s="2" t="s">
        <v>45</v>
      </c>
      <c r="O28" s="2">
        <v>9189</v>
      </c>
      <c r="P28" s="2" t="s">
        <v>65</v>
      </c>
      <c r="Q28" s="2">
        <v>8</v>
      </c>
      <c r="R28" s="2">
        <v>4</v>
      </c>
      <c r="S28" s="2" t="s">
        <v>33</v>
      </c>
      <c r="T28" s="2" t="s">
        <v>75</v>
      </c>
      <c r="U28" s="2" t="s">
        <v>57</v>
      </c>
    </row>
    <row r="29" spans="1:21">
      <c r="A29" s="2">
        <v>10028</v>
      </c>
      <c r="B29" s="2" t="s">
        <v>145</v>
      </c>
      <c r="C29" s="2" t="s">
        <v>37</v>
      </c>
      <c r="D29" s="2">
        <v>30</v>
      </c>
      <c r="E29" s="2" t="s">
        <v>38</v>
      </c>
      <c r="F29" s="2" t="s">
        <v>39</v>
      </c>
      <c r="G29" s="2" t="s">
        <v>72</v>
      </c>
      <c r="H29" s="2" t="s">
        <v>41</v>
      </c>
      <c r="I29" s="2" t="s">
        <v>146</v>
      </c>
      <c r="J29" s="2" t="s">
        <v>147</v>
      </c>
      <c r="K29" s="2" t="s">
        <v>29</v>
      </c>
      <c r="L29" s="2" t="s">
        <v>30</v>
      </c>
      <c r="M29" s="2">
        <v>59007</v>
      </c>
      <c r="N29" s="2" t="s">
        <v>31</v>
      </c>
      <c r="O29" s="2">
        <v>3380</v>
      </c>
      <c r="P29" s="2" t="s">
        <v>32</v>
      </c>
      <c r="Q29" s="2">
        <v>17</v>
      </c>
      <c r="R29" s="2">
        <v>3</v>
      </c>
      <c r="S29" s="2" t="s">
        <v>46</v>
      </c>
      <c r="T29" s="2" t="s">
        <v>96</v>
      </c>
      <c r="U29" s="2" t="s">
        <v>35</v>
      </c>
    </row>
    <row r="30" spans="1:21">
      <c r="A30" s="2">
        <v>10029</v>
      </c>
      <c r="B30" s="2" t="s">
        <v>148</v>
      </c>
      <c r="C30" s="2" t="s">
        <v>37</v>
      </c>
      <c r="D30" s="2">
        <v>46</v>
      </c>
      <c r="E30" s="2" t="s">
        <v>98</v>
      </c>
      <c r="F30" s="2" t="s">
        <v>80</v>
      </c>
      <c r="G30" s="2" t="s">
        <v>25</v>
      </c>
      <c r="H30" s="2" t="s">
        <v>60</v>
      </c>
      <c r="I30" s="2" t="s">
        <v>149</v>
      </c>
      <c r="J30" s="2" t="s">
        <v>150</v>
      </c>
      <c r="K30" s="2" t="s">
        <v>29</v>
      </c>
      <c r="L30" s="2" t="s">
        <v>44</v>
      </c>
      <c r="M30" s="2">
        <v>52020</v>
      </c>
      <c r="N30" s="2" t="s">
        <v>45</v>
      </c>
      <c r="O30" s="2">
        <v>9585</v>
      </c>
      <c r="P30" s="2" t="s">
        <v>65</v>
      </c>
      <c r="Q30" s="2">
        <v>0</v>
      </c>
      <c r="R30" s="2">
        <v>4</v>
      </c>
      <c r="S30" s="2" t="s">
        <v>47</v>
      </c>
      <c r="T30" s="2" t="s">
        <v>96</v>
      </c>
      <c r="U30" s="2" t="s">
        <v>46</v>
      </c>
    </row>
    <row r="31" spans="1:21">
      <c r="A31" s="2">
        <v>10030</v>
      </c>
      <c r="B31" s="2" t="s">
        <v>151</v>
      </c>
      <c r="C31" s="2" t="s">
        <v>37</v>
      </c>
      <c r="D31" s="2">
        <v>44</v>
      </c>
      <c r="E31" s="2" t="s">
        <v>59</v>
      </c>
      <c r="F31" s="2" t="s">
        <v>39</v>
      </c>
      <c r="G31" s="2" t="s">
        <v>50</v>
      </c>
      <c r="H31" s="2" t="s">
        <v>41</v>
      </c>
      <c r="I31" s="2" t="s">
        <v>152</v>
      </c>
      <c r="J31" s="2" t="s">
        <v>153</v>
      </c>
      <c r="K31" s="2" t="s">
        <v>111</v>
      </c>
      <c r="L31" s="2" t="s">
        <v>44</v>
      </c>
      <c r="M31" s="2">
        <v>98961</v>
      </c>
      <c r="N31" s="2" t="s">
        <v>55</v>
      </c>
      <c r="O31" s="2">
        <v>2688</v>
      </c>
      <c r="P31" s="2" t="s">
        <v>32</v>
      </c>
      <c r="Q31" s="2">
        <v>2</v>
      </c>
      <c r="R31" s="2">
        <v>5</v>
      </c>
      <c r="S31" s="2" t="s">
        <v>47</v>
      </c>
      <c r="T31" s="2" t="s">
        <v>96</v>
      </c>
      <c r="U31" s="2" t="s">
        <v>35</v>
      </c>
    </row>
    <row r="32" spans="1:21">
      <c r="A32" s="2">
        <v>10031</v>
      </c>
      <c r="B32" s="2" t="s">
        <v>154</v>
      </c>
      <c r="C32" s="2" t="s">
        <v>37</v>
      </c>
      <c r="D32" s="2">
        <v>45</v>
      </c>
      <c r="E32" s="2" t="s">
        <v>59</v>
      </c>
      <c r="F32" s="2" t="s">
        <v>49</v>
      </c>
      <c r="G32" s="2" t="s">
        <v>72</v>
      </c>
      <c r="H32" s="2" t="s">
        <v>51</v>
      </c>
      <c r="I32" s="2" t="s">
        <v>155</v>
      </c>
      <c r="J32" s="2" t="s">
        <v>156</v>
      </c>
      <c r="K32" s="2" t="s">
        <v>111</v>
      </c>
      <c r="L32" s="2" t="s">
        <v>44</v>
      </c>
      <c r="M32" s="2">
        <v>81943</v>
      </c>
      <c r="N32" s="2" t="s">
        <v>31</v>
      </c>
      <c r="O32" s="2">
        <v>2255</v>
      </c>
      <c r="P32" s="2" t="s">
        <v>32</v>
      </c>
      <c r="Q32" s="2">
        <v>18</v>
      </c>
      <c r="R32" s="2">
        <v>2</v>
      </c>
      <c r="S32" s="2" t="s">
        <v>46</v>
      </c>
      <c r="T32" s="2" t="s">
        <v>66</v>
      </c>
      <c r="U32" s="2" t="s">
        <v>35</v>
      </c>
    </row>
    <row r="33" spans="1:21">
      <c r="A33" s="2">
        <v>10032</v>
      </c>
      <c r="B33" s="2" t="s">
        <v>157</v>
      </c>
      <c r="C33" s="2" t="s">
        <v>37</v>
      </c>
      <c r="D33" s="2">
        <v>52</v>
      </c>
      <c r="E33" s="2" t="s">
        <v>98</v>
      </c>
      <c r="F33" s="2" t="s">
        <v>102</v>
      </c>
      <c r="G33" s="2" t="s">
        <v>50</v>
      </c>
      <c r="H33" s="2" t="s">
        <v>41</v>
      </c>
      <c r="I33" s="2" t="s">
        <v>158</v>
      </c>
      <c r="J33" s="2" t="s">
        <v>159</v>
      </c>
      <c r="K33" s="2" t="s">
        <v>111</v>
      </c>
      <c r="L33" s="2" t="s">
        <v>44</v>
      </c>
      <c r="M33" s="2">
        <v>47627</v>
      </c>
      <c r="N33" s="2" t="s">
        <v>31</v>
      </c>
      <c r="O33" s="2">
        <v>1221</v>
      </c>
      <c r="P33" s="2" t="s">
        <v>46</v>
      </c>
      <c r="Q33" s="2">
        <v>4</v>
      </c>
      <c r="R33" s="2">
        <v>3</v>
      </c>
      <c r="S33" s="2" t="s">
        <v>46</v>
      </c>
      <c r="T33" s="2" t="s">
        <v>56</v>
      </c>
      <c r="U33" s="2" t="s">
        <v>46</v>
      </c>
    </row>
    <row r="34" spans="1:21">
      <c r="A34" s="2">
        <v>10033</v>
      </c>
      <c r="B34" s="2" t="s">
        <v>160</v>
      </c>
      <c r="C34" s="2" t="s">
        <v>22</v>
      </c>
      <c r="D34" s="2">
        <v>52</v>
      </c>
      <c r="E34" s="2" t="s">
        <v>98</v>
      </c>
      <c r="F34" s="2" t="s">
        <v>24</v>
      </c>
      <c r="G34" s="2" t="s">
        <v>25</v>
      </c>
      <c r="H34" s="2" t="s">
        <v>81</v>
      </c>
      <c r="I34" s="2" t="s">
        <v>161</v>
      </c>
      <c r="J34" s="2" t="s">
        <v>162</v>
      </c>
      <c r="K34" s="2" t="s">
        <v>111</v>
      </c>
      <c r="L34" s="2" t="s">
        <v>44</v>
      </c>
      <c r="M34" s="2">
        <v>56162</v>
      </c>
      <c r="N34" s="2" t="s">
        <v>55</v>
      </c>
      <c r="O34" s="2">
        <v>6560</v>
      </c>
      <c r="P34" s="2" t="s">
        <v>65</v>
      </c>
      <c r="Q34" s="2">
        <v>9</v>
      </c>
      <c r="R34" s="2">
        <v>4</v>
      </c>
      <c r="S34" s="2" t="s">
        <v>47</v>
      </c>
      <c r="T34" s="2" t="s">
        <v>75</v>
      </c>
      <c r="U34" s="2" t="s">
        <v>46</v>
      </c>
    </row>
    <row r="35" spans="1:21">
      <c r="A35" s="2">
        <v>10034</v>
      </c>
      <c r="B35" s="2" t="s">
        <v>163</v>
      </c>
      <c r="C35" s="2" t="s">
        <v>22</v>
      </c>
      <c r="D35" s="2">
        <v>42</v>
      </c>
      <c r="E35" s="2" t="s">
        <v>59</v>
      </c>
      <c r="F35" s="2" t="s">
        <v>39</v>
      </c>
      <c r="G35" s="2" t="s">
        <v>50</v>
      </c>
      <c r="H35" s="2" t="s">
        <v>51</v>
      </c>
      <c r="I35" s="2" t="s">
        <v>164</v>
      </c>
      <c r="J35" s="2" t="s">
        <v>165</v>
      </c>
      <c r="K35" s="2" t="s">
        <v>63</v>
      </c>
      <c r="L35" s="2" t="s">
        <v>54</v>
      </c>
      <c r="M35" s="2">
        <v>95734</v>
      </c>
      <c r="N35" s="2" t="s">
        <v>31</v>
      </c>
      <c r="O35" s="2">
        <v>4854</v>
      </c>
      <c r="P35" s="2" t="s">
        <v>32</v>
      </c>
      <c r="Q35" s="2">
        <v>13</v>
      </c>
      <c r="R35" s="2">
        <v>2</v>
      </c>
      <c r="S35" s="2" t="s">
        <v>33</v>
      </c>
      <c r="T35" s="2" t="s">
        <v>34</v>
      </c>
      <c r="U35" s="2" t="s">
        <v>35</v>
      </c>
    </row>
    <row r="36" spans="1:21">
      <c r="A36" s="2">
        <v>10035</v>
      </c>
      <c r="B36" s="2" t="s">
        <v>166</v>
      </c>
      <c r="C36" s="2" t="s">
        <v>37</v>
      </c>
      <c r="D36" s="2">
        <v>58</v>
      </c>
      <c r="E36" s="2" t="s">
        <v>68</v>
      </c>
      <c r="F36" s="2" t="s">
        <v>39</v>
      </c>
      <c r="G36" s="2" t="s">
        <v>40</v>
      </c>
      <c r="H36" s="2" t="s">
        <v>60</v>
      </c>
      <c r="I36" s="2" t="s">
        <v>167</v>
      </c>
      <c r="J36" s="2" t="s">
        <v>168</v>
      </c>
      <c r="K36" s="2" t="s">
        <v>63</v>
      </c>
      <c r="L36" s="2" t="s">
        <v>54</v>
      </c>
      <c r="M36" s="2">
        <v>74789</v>
      </c>
      <c r="N36" s="2" t="s">
        <v>31</v>
      </c>
      <c r="O36" s="2">
        <v>8101</v>
      </c>
      <c r="P36" s="2" t="s">
        <v>65</v>
      </c>
      <c r="Q36" s="2">
        <v>14</v>
      </c>
      <c r="R36" s="2">
        <v>5</v>
      </c>
      <c r="S36" s="2" t="s">
        <v>47</v>
      </c>
      <c r="T36" s="2" t="s">
        <v>66</v>
      </c>
      <c r="U36" s="2" t="s">
        <v>46</v>
      </c>
    </row>
    <row r="37" spans="1:21">
      <c r="A37" s="2">
        <v>10036</v>
      </c>
      <c r="B37" s="2" t="s">
        <v>169</v>
      </c>
      <c r="C37" s="2" t="s">
        <v>22</v>
      </c>
      <c r="D37" s="2">
        <v>24</v>
      </c>
      <c r="E37" s="2" t="s">
        <v>23</v>
      </c>
      <c r="F37" s="2" t="s">
        <v>102</v>
      </c>
      <c r="G37" s="2" t="s">
        <v>25</v>
      </c>
      <c r="H37" s="2" t="s">
        <v>60</v>
      </c>
      <c r="I37" s="2" t="s">
        <v>170</v>
      </c>
      <c r="J37" s="2" t="s">
        <v>171</v>
      </c>
      <c r="K37" s="2" t="s">
        <v>29</v>
      </c>
      <c r="L37" s="2" t="s">
        <v>54</v>
      </c>
      <c r="M37" s="2">
        <v>30137</v>
      </c>
      <c r="N37" s="2" t="s">
        <v>45</v>
      </c>
      <c r="O37" s="2">
        <v>4031</v>
      </c>
      <c r="P37" s="2" t="s">
        <v>46</v>
      </c>
      <c r="Q37" s="2">
        <v>5</v>
      </c>
      <c r="R37" s="2">
        <v>3</v>
      </c>
      <c r="S37" s="2" t="s">
        <v>46</v>
      </c>
      <c r="T37" s="2" t="s">
        <v>56</v>
      </c>
      <c r="U37" s="2" t="s">
        <v>35</v>
      </c>
    </row>
    <row r="38" spans="1:21">
      <c r="A38" s="2">
        <v>10037</v>
      </c>
      <c r="B38" s="2" t="s">
        <v>172</v>
      </c>
      <c r="C38" s="2" t="s">
        <v>37</v>
      </c>
      <c r="D38" s="2">
        <v>21</v>
      </c>
      <c r="E38" s="2" t="s">
        <v>23</v>
      </c>
      <c r="F38" s="2" t="s">
        <v>39</v>
      </c>
      <c r="G38" s="2" t="s">
        <v>25</v>
      </c>
      <c r="H38" s="2" t="s">
        <v>26</v>
      </c>
      <c r="I38" s="2" t="s">
        <v>173</v>
      </c>
      <c r="J38" s="2" t="s">
        <v>174</v>
      </c>
      <c r="K38" s="2" t="s">
        <v>29</v>
      </c>
      <c r="L38" s="2" t="s">
        <v>54</v>
      </c>
      <c r="M38" s="2">
        <v>95510</v>
      </c>
      <c r="N38" s="2" t="s">
        <v>31</v>
      </c>
      <c r="O38" s="2">
        <v>6811</v>
      </c>
      <c r="P38" s="2" t="s">
        <v>32</v>
      </c>
      <c r="Q38" s="2">
        <v>18</v>
      </c>
      <c r="R38" s="2">
        <v>4</v>
      </c>
      <c r="S38" s="2" t="s">
        <v>47</v>
      </c>
      <c r="T38" s="2" t="s">
        <v>96</v>
      </c>
      <c r="U38" s="2" t="s">
        <v>35</v>
      </c>
    </row>
    <row r="39" spans="1:21">
      <c r="A39" s="2">
        <v>10038</v>
      </c>
      <c r="B39" s="2" t="s">
        <v>175</v>
      </c>
      <c r="C39" s="2" t="s">
        <v>37</v>
      </c>
      <c r="D39" s="2">
        <v>58</v>
      </c>
      <c r="E39" s="2" t="s">
        <v>68</v>
      </c>
      <c r="F39" s="2" t="s">
        <v>39</v>
      </c>
      <c r="G39" s="2" t="s">
        <v>72</v>
      </c>
      <c r="H39" s="2" t="s">
        <v>26</v>
      </c>
      <c r="I39" s="2" t="s">
        <v>176</v>
      </c>
      <c r="J39" s="2" t="s">
        <v>177</v>
      </c>
      <c r="K39" s="2" t="s">
        <v>63</v>
      </c>
      <c r="L39" s="2" t="s">
        <v>30</v>
      </c>
      <c r="M39" s="2">
        <v>80325</v>
      </c>
      <c r="N39" s="2" t="s">
        <v>45</v>
      </c>
      <c r="O39" s="2">
        <v>6230</v>
      </c>
      <c r="P39" s="2" t="s">
        <v>32</v>
      </c>
      <c r="Q39" s="2">
        <v>5</v>
      </c>
      <c r="R39" s="2">
        <v>4</v>
      </c>
      <c r="S39" s="2" t="s">
        <v>46</v>
      </c>
      <c r="T39" s="2" t="s">
        <v>66</v>
      </c>
      <c r="U39" s="2" t="s">
        <v>57</v>
      </c>
    </row>
    <row r="40" spans="1:21">
      <c r="A40" s="2">
        <v>10039</v>
      </c>
      <c r="B40" s="2" t="s">
        <v>178</v>
      </c>
      <c r="C40" s="2" t="s">
        <v>22</v>
      </c>
      <c r="D40" s="2">
        <v>57</v>
      </c>
      <c r="E40" s="2" t="s">
        <v>68</v>
      </c>
      <c r="F40" s="2" t="s">
        <v>80</v>
      </c>
      <c r="G40" s="2" t="s">
        <v>121</v>
      </c>
      <c r="H40" s="2" t="s">
        <v>81</v>
      </c>
      <c r="I40" s="2" t="s">
        <v>179</v>
      </c>
      <c r="J40" s="2" t="s">
        <v>180</v>
      </c>
      <c r="K40" s="2" t="s">
        <v>111</v>
      </c>
      <c r="L40" s="2" t="s">
        <v>44</v>
      </c>
      <c r="M40" s="2">
        <v>34109</v>
      </c>
      <c r="N40" s="2" t="s">
        <v>45</v>
      </c>
      <c r="O40" s="2">
        <v>9232</v>
      </c>
      <c r="P40" s="2" t="s">
        <v>32</v>
      </c>
      <c r="Q40" s="2">
        <v>13</v>
      </c>
      <c r="R40" s="2">
        <v>3</v>
      </c>
      <c r="S40" s="2" t="s">
        <v>33</v>
      </c>
      <c r="T40" s="2" t="s">
        <v>34</v>
      </c>
      <c r="U40" s="2" t="s">
        <v>35</v>
      </c>
    </row>
    <row r="41" spans="1:21">
      <c r="A41" s="2">
        <v>10040</v>
      </c>
      <c r="B41" s="2" t="s">
        <v>181</v>
      </c>
      <c r="C41" s="2" t="s">
        <v>37</v>
      </c>
      <c r="D41" s="2">
        <v>41</v>
      </c>
      <c r="E41" s="2" t="s">
        <v>59</v>
      </c>
      <c r="F41" s="2" t="s">
        <v>80</v>
      </c>
      <c r="G41" s="2" t="s">
        <v>72</v>
      </c>
      <c r="H41" s="2" t="s">
        <v>26</v>
      </c>
      <c r="I41" s="2" t="s">
        <v>182</v>
      </c>
      <c r="J41" s="2" t="s">
        <v>183</v>
      </c>
      <c r="K41" s="2" t="s">
        <v>111</v>
      </c>
      <c r="L41" s="2" t="s">
        <v>54</v>
      </c>
      <c r="M41" s="2">
        <v>73330</v>
      </c>
      <c r="N41" s="2" t="s">
        <v>31</v>
      </c>
      <c r="O41" s="2">
        <v>2276</v>
      </c>
      <c r="P41" s="2" t="s">
        <v>65</v>
      </c>
      <c r="Q41" s="2">
        <v>5</v>
      </c>
      <c r="R41" s="2">
        <v>1</v>
      </c>
      <c r="S41" s="2" t="s">
        <v>46</v>
      </c>
      <c r="T41" s="2" t="s">
        <v>56</v>
      </c>
      <c r="U41" s="2" t="s">
        <v>57</v>
      </c>
    </row>
    <row r="42" spans="1:21">
      <c r="A42" s="2">
        <v>10041</v>
      </c>
      <c r="B42" s="2" t="s">
        <v>184</v>
      </c>
      <c r="C42" s="2" t="s">
        <v>22</v>
      </c>
      <c r="D42" s="2">
        <v>58</v>
      </c>
      <c r="E42" s="2" t="s">
        <v>68</v>
      </c>
      <c r="F42" s="2" t="s">
        <v>49</v>
      </c>
      <c r="G42" s="2" t="s">
        <v>50</v>
      </c>
      <c r="H42" s="2" t="s">
        <v>41</v>
      </c>
      <c r="I42" s="2" t="s">
        <v>185</v>
      </c>
      <c r="J42" s="2" t="s">
        <v>186</v>
      </c>
      <c r="K42" s="2" t="s">
        <v>63</v>
      </c>
      <c r="L42" s="2" t="s">
        <v>54</v>
      </c>
      <c r="M42" s="2">
        <v>46567</v>
      </c>
      <c r="N42" s="2" t="s">
        <v>64</v>
      </c>
      <c r="O42" s="2">
        <v>2825</v>
      </c>
      <c r="P42" s="2" t="s">
        <v>32</v>
      </c>
      <c r="Q42" s="2">
        <v>15</v>
      </c>
      <c r="R42" s="2">
        <v>3</v>
      </c>
      <c r="S42" s="2" t="s">
        <v>46</v>
      </c>
      <c r="T42" s="2" t="s">
        <v>96</v>
      </c>
      <c r="U42" s="2" t="s">
        <v>57</v>
      </c>
    </row>
    <row r="43" spans="1:21">
      <c r="A43" s="2">
        <v>10042</v>
      </c>
      <c r="B43" s="2" t="s">
        <v>187</v>
      </c>
      <c r="C43" s="2" t="s">
        <v>22</v>
      </c>
      <c r="D43" s="2">
        <v>36</v>
      </c>
      <c r="E43" s="2" t="s">
        <v>59</v>
      </c>
      <c r="F43" s="2" t="s">
        <v>24</v>
      </c>
      <c r="G43" s="2" t="s">
        <v>121</v>
      </c>
      <c r="H43" s="2" t="s">
        <v>26</v>
      </c>
      <c r="I43" s="2" t="s">
        <v>188</v>
      </c>
      <c r="J43" s="2" t="s">
        <v>189</v>
      </c>
      <c r="K43" s="2" t="s">
        <v>63</v>
      </c>
      <c r="L43" s="2" t="s">
        <v>44</v>
      </c>
      <c r="M43" s="2">
        <v>39795</v>
      </c>
      <c r="N43" s="2" t="s">
        <v>64</v>
      </c>
      <c r="O43" s="2">
        <v>1670</v>
      </c>
      <c r="P43" s="2" t="s">
        <v>46</v>
      </c>
      <c r="Q43" s="2">
        <v>0</v>
      </c>
      <c r="R43" s="2">
        <v>2</v>
      </c>
      <c r="S43" s="2" t="s">
        <v>47</v>
      </c>
      <c r="T43" s="2" t="s">
        <v>75</v>
      </c>
      <c r="U43" s="2" t="s">
        <v>46</v>
      </c>
    </row>
    <row r="44" spans="1:21">
      <c r="A44" s="2">
        <v>10043</v>
      </c>
      <c r="B44" s="2" t="s">
        <v>190</v>
      </c>
      <c r="C44" s="2" t="s">
        <v>22</v>
      </c>
      <c r="D44" s="2">
        <v>21</v>
      </c>
      <c r="E44" s="2" t="s">
        <v>23</v>
      </c>
      <c r="F44" s="2" t="s">
        <v>24</v>
      </c>
      <c r="G44" s="2" t="s">
        <v>25</v>
      </c>
      <c r="H44" s="2" t="s">
        <v>81</v>
      </c>
      <c r="I44" s="2" t="s">
        <v>191</v>
      </c>
      <c r="J44" s="2" t="s">
        <v>192</v>
      </c>
      <c r="K44" s="2" t="s">
        <v>63</v>
      </c>
      <c r="L44" s="2" t="s">
        <v>54</v>
      </c>
      <c r="M44" s="2">
        <v>59506</v>
      </c>
      <c r="N44" s="2" t="s">
        <v>64</v>
      </c>
      <c r="O44" s="2">
        <v>4428</v>
      </c>
      <c r="P44" s="2" t="s">
        <v>65</v>
      </c>
      <c r="Q44" s="2">
        <v>0</v>
      </c>
      <c r="R44" s="2">
        <v>1</v>
      </c>
      <c r="S44" s="2" t="s">
        <v>46</v>
      </c>
      <c r="T44" s="2" t="s">
        <v>75</v>
      </c>
      <c r="U44" s="2" t="s">
        <v>35</v>
      </c>
    </row>
    <row r="45" spans="1:21">
      <c r="A45" s="2">
        <v>10044</v>
      </c>
      <c r="B45" s="2" t="s">
        <v>193</v>
      </c>
      <c r="C45" s="2" t="s">
        <v>22</v>
      </c>
      <c r="D45" s="2">
        <v>46</v>
      </c>
      <c r="E45" s="2" t="s">
        <v>98</v>
      </c>
      <c r="F45" s="2" t="s">
        <v>49</v>
      </c>
      <c r="G45" s="2" t="s">
        <v>40</v>
      </c>
      <c r="H45" s="2" t="s">
        <v>81</v>
      </c>
      <c r="I45" s="2" t="s">
        <v>194</v>
      </c>
      <c r="J45" s="2" t="s">
        <v>195</v>
      </c>
      <c r="K45" s="2" t="s">
        <v>63</v>
      </c>
      <c r="L45" s="2" t="s">
        <v>54</v>
      </c>
      <c r="M45" s="2">
        <v>49058</v>
      </c>
      <c r="N45" s="2" t="s">
        <v>45</v>
      </c>
      <c r="O45" s="2">
        <v>4396</v>
      </c>
      <c r="P45" s="2" t="s">
        <v>46</v>
      </c>
      <c r="Q45" s="2">
        <v>5</v>
      </c>
      <c r="R45" s="2">
        <v>1</v>
      </c>
      <c r="S45" s="2" t="s">
        <v>46</v>
      </c>
      <c r="T45" s="2" t="s">
        <v>75</v>
      </c>
      <c r="U45" s="2" t="s">
        <v>46</v>
      </c>
    </row>
    <row r="46" spans="1:21">
      <c r="A46" s="2">
        <v>10045</v>
      </c>
      <c r="B46" s="2" t="s">
        <v>196</v>
      </c>
      <c r="C46" s="2" t="s">
        <v>22</v>
      </c>
      <c r="D46" s="2">
        <v>36</v>
      </c>
      <c r="E46" s="2" t="s">
        <v>59</v>
      </c>
      <c r="F46" s="2" t="s">
        <v>80</v>
      </c>
      <c r="G46" s="2" t="s">
        <v>50</v>
      </c>
      <c r="H46" s="2" t="s">
        <v>81</v>
      </c>
      <c r="I46" s="2" t="s">
        <v>197</v>
      </c>
      <c r="J46" s="2" t="s">
        <v>198</v>
      </c>
      <c r="K46" s="2" t="s">
        <v>63</v>
      </c>
      <c r="L46" s="2" t="s">
        <v>30</v>
      </c>
      <c r="M46" s="2">
        <v>98612</v>
      </c>
      <c r="N46" s="2" t="s">
        <v>64</v>
      </c>
      <c r="O46" s="2">
        <v>1168</v>
      </c>
      <c r="P46" s="2" t="s">
        <v>46</v>
      </c>
      <c r="Q46" s="2">
        <v>9</v>
      </c>
      <c r="R46" s="2">
        <v>2</v>
      </c>
      <c r="S46" s="2" t="s">
        <v>47</v>
      </c>
      <c r="T46" s="2" t="s">
        <v>34</v>
      </c>
      <c r="U46" s="2" t="s">
        <v>35</v>
      </c>
    </row>
    <row r="47" spans="1:21">
      <c r="A47" s="2">
        <v>10046</v>
      </c>
      <c r="B47" s="2" t="s">
        <v>199</v>
      </c>
      <c r="C47" s="2" t="s">
        <v>37</v>
      </c>
      <c r="D47" s="2">
        <v>41</v>
      </c>
      <c r="E47" s="2" t="s">
        <v>59</v>
      </c>
      <c r="F47" s="2" t="s">
        <v>102</v>
      </c>
      <c r="G47" s="2" t="s">
        <v>72</v>
      </c>
      <c r="H47" s="2" t="s">
        <v>41</v>
      </c>
      <c r="I47" s="2" t="s">
        <v>200</v>
      </c>
      <c r="J47" s="2" t="s">
        <v>201</v>
      </c>
      <c r="K47" s="2" t="s">
        <v>111</v>
      </c>
      <c r="L47" s="2" t="s">
        <v>44</v>
      </c>
      <c r="M47" s="2">
        <v>38201</v>
      </c>
      <c r="N47" s="2" t="s">
        <v>64</v>
      </c>
      <c r="O47" s="2">
        <v>7111</v>
      </c>
      <c r="P47" s="2" t="s">
        <v>32</v>
      </c>
      <c r="Q47" s="2">
        <v>8</v>
      </c>
      <c r="R47" s="2">
        <v>4</v>
      </c>
      <c r="S47" s="2" t="s">
        <v>33</v>
      </c>
      <c r="T47" s="2" t="s">
        <v>75</v>
      </c>
      <c r="U47" s="2" t="s">
        <v>46</v>
      </c>
    </row>
    <row r="48" spans="1:21">
      <c r="A48" s="2">
        <v>10047</v>
      </c>
      <c r="B48" s="2" t="s">
        <v>202</v>
      </c>
      <c r="C48" s="2" t="s">
        <v>37</v>
      </c>
      <c r="D48" s="2">
        <v>25</v>
      </c>
      <c r="E48" s="2" t="s">
        <v>23</v>
      </c>
      <c r="F48" s="2" t="s">
        <v>24</v>
      </c>
      <c r="G48" s="2" t="s">
        <v>50</v>
      </c>
      <c r="H48" s="2" t="s">
        <v>51</v>
      </c>
      <c r="I48" s="2" t="s">
        <v>203</v>
      </c>
      <c r="J48" s="2" t="s">
        <v>204</v>
      </c>
      <c r="K48" s="2" t="s">
        <v>111</v>
      </c>
      <c r="L48" s="2" t="s">
        <v>44</v>
      </c>
      <c r="M48" s="2">
        <v>92919</v>
      </c>
      <c r="N48" s="2" t="s">
        <v>55</v>
      </c>
      <c r="O48" s="2">
        <v>9497</v>
      </c>
      <c r="P48" s="2" t="s">
        <v>32</v>
      </c>
      <c r="Q48" s="2">
        <v>7</v>
      </c>
      <c r="R48" s="2">
        <v>2</v>
      </c>
      <c r="S48" s="2" t="s">
        <v>46</v>
      </c>
      <c r="T48" s="2" t="s">
        <v>75</v>
      </c>
      <c r="U48" s="2" t="s">
        <v>57</v>
      </c>
    </row>
    <row r="49" spans="1:21">
      <c r="A49" s="2">
        <v>10048</v>
      </c>
      <c r="B49" s="2" t="s">
        <v>205</v>
      </c>
      <c r="C49" s="2" t="s">
        <v>22</v>
      </c>
      <c r="D49" s="2">
        <v>29</v>
      </c>
      <c r="E49" s="2" t="s">
        <v>38</v>
      </c>
      <c r="F49" s="2" t="s">
        <v>102</v>
      </c>
      <c r="G49" s="2" t="s">
        <v>25</v>
      </c>
      <c r="H49" s="2" t="s">
        <v>41</v>
      </c>
      <c r="I49" s="2" t="s">
        <v>206</v>
      </c>
      <c r="J49" s="2" t="s">
        <v>207</v>
      </c>
      <c r="K49" s="2" t="s">
        <v>29</v>
      </c>
      <c r="L49" s="2" t="s">
        <v>54</v>
      </c>
      <c r="M49" s="2">
        <v>45188</v>
      </c>
      <c r="N49" s="2" t="s">
        <v>64</v>
      </c>
      <c r="O49" s="2">
        <v>9591</v>
      </c>
      <c r="P49" s="2" t="s">
        <v>65</v>
      </c>
      <c r="Q49" s="2">
        <v>18</v>
      </c>
      <c r="R49" s="2">
        <v>3</v>
      </c>
      <c r="S49" s="2" t="s">
        <v>33</v>
      </c>
      <c r="T49" s="2" t="s">
        <v>75</v>
      </c>
      <c r="U49" s="2" t="s">
        <v>46</v>
      </c>
    </row>
    <row r="50" spans="1:21">
      <c r="A50" s="2">
        <v>10049</v>
      </c>
      <c r="B50" s="2" t="s">
        <v>208</v>
      </c>
      <c r="C50" s="2" t="s">
        <v>22</v>
      </c>
      <c r="D50" s="2">
        <v>59</v>
      </c>
      <c r="E50" s="2" t="s">
        <v>68</v>
      </c>
      <c r="F50" s="2" t="s">
        <v>49</v>
      </c>
      <c r="G50" s="2" t="s">
        <v>40</v>
      </c>
      <c r="H50" s="2" t="s">
        <v>26</v>
      </c>
      <c r="I50" s="2" t="s">
        <v>209</v>
      </c>
      <c r="J50" s="2" t="s">
        <v>210</v>
      </c>
      <c r="K50" s="2" t="s">
        <v>29</v>
      </c>
      <c r="L50" s="2" t="s">
        <v>44</v>
      </c>
      <c r="M50" s="2">
        <v>34927</v>
      </c>
      <c r="N50" s="2" t="s">
        <v>55</v>
      </c>
      <c r="O50" s="2">
        <v>6996</v>
      </c>
      <c r="P50" s="2" t="s">
        <v>65</v>
      </c>
      <c r="Q50" s="2">
        <v>16</v>
      </c>
      <c r="R50" s="2">
        <v>1</v>
      </c>
      <c r="S50" s="2" t="s">
        <v>47</v>
      </c>
      <c r="T50" s="2" t="s">
        <v>34</v>
      </c>
      <c r="U50" s="2" t="s">
        <v>35</v>
      </c>
    </row>
    <row r="51" spans="1:21">
      <c r="A51" s="2">
        <v>10050</v>
      </c>
      <c r="B51" s="2"/>
      <c r="C51" s="2" t="s">
        <v>22</v>
      </c>
      <c r="D51" s="2">
        <v>27</v>
      </c>
      <c r="E51" s="2" t="s">
        <v>38</v>
      </c>
      <c r="F51" s="2" t="s">
        <v>24</v>
      </c>
      <c r="G51" s="2" t="s">
        <v>50</v>
      </c>
      <c r="H51" s="2" t="s">
        <v>60</v>
      </c>
      <c r="I51" s="2" t="s">
        <v>211</v>
      </c>
      <c r="J51" s="2" t="s">
        <v>212</v>
      </c>
      <c r="K51" s="2" t="s">
        <v>29</v>
      </c>
      <c r="L51" s="2" t="s">
        <v>44</v>
      </c>
      <c r="M51" s="2">
        <v>33183</v>
      </c>
      <c r="N51" s="2" t="s">
        <v>64</v>
      </c>
      <c r="O51" s="2">
        <v>1659</v>
      </c>
      <c r="P51" s="2" t="s">
        <v>46</v>
      </c>
      <c r="Q51" s="2">
        <v>11</v>
      </c>
      <c r="R51" s="2">
        <v>1</v>
      </c>
      <c r="S51" s="2" t="s">
        <v>33</v>
      </c>
      <c r="T51" s="2" t="s">
        <v>66</v>
      </c>
      <c r="U51" s="2" t="s">
        <v>46</v>
      </c>
    </row>
    <row r="52" spans="1:21">
      <c r="A52" s="2">
        <v>10051</v>
      </c>
      <c r="B52" s="2" t="s">
        <v>213</v>
      </c>
      <c r="C52" s="2" t="s">
        <v>22</v>
      </c>
      <c r="D52" s="2">
        <v>58</v>
      </c>
      <c r="E52" s="2" t="s">
        <v>68</v>
      </c>
      <c r="F52" s="2" t="s">
        <v>39</v>
      </c>
      <c r="G52" s="2" t="s">
        <v>50</v>
      </c>
      <c r="H52" s="2" t="s">
        <v>81</v>
      </c>
      <c r="I52" s="2" t="s">
        <v>214</v>
      </c>
      <c r="J52" s="2" t="s">
        <v>215</v>
      </c>
      <c r="K52" s="2" t="s">
        <v>111</v>
      </c>
      <c r="L52" s="2" t="s">
        <v>30</v>
      </c>
      <c r="M52" s="2">
        <v>69488</v>
      </c>
      <c r="N52" s="2" t="s">
        <v>55</v>
      </c>
      <c r="O52" s="2">
        <v>8580</v>
      </c>
      <c r="P52" s="2" t="s">
        <v>65</v>
      </c>
      <c r="Q52" s="2">
        <v>17</v>
      </c>
      <c r="R52" s="2">
        <v>4</v>
      </c>
      <c r="S52" s="2" t="s">
        <v>47</v>
      </c>
      <c r="T52" s="2" t="s">
        <v>75</v>
      </c>
      <c r="U52" s="2" t="s">
        <v>57</v>
      </c>
    </row>
    <row r="53" spans="1:21">
      <c r="A53" s="2">
        <v>10052</v>
      </c>
      <c r="B53" s="2" t="s">
        <v>216</v>
      </c>
      <c r="C53" s="2" t="s">
        <v>22</v>
      </c>
      <c r="D53" s="2">
        <v>30</v>
      </c>
      <c r="E53" s="2" t="s">
        <v>38</v>
      </c>
      <c r="F53" s="2" t="s">
        <v>80</v>
      </c>
      <c r="G53" s="2" t="s">
        <v>25</v>
      </c>
      <c r="H53" s="2" t="s">
        <v>51</v>
      </c>
      <c r="I53" s="2" t="s">
        <v>214</v>
      </c>
      <c r="J53" s="2" t="s">
        <v>217</v>
      </c>
      <c r="K53" s="2" t="s">
        <v>29</v>
      </c>
      <c r="L53" s="2" t="s">
        <v>30</v>
      </c>
      <c r="M53" s="2">
        <v>91851</v>
      </c>
      <c r="N53" s="2" t="s">
        <v>64</v>
      </c>
      <c r="O53" s="2">
        <v>2168</v>
      </c>
      <c r="P53" s="2" t="s">
        <v>46</v>
      </c>
      <c r="Q53" s="2">
        <v>18</v>
      </c>
      <c r="R53" s="2">
        <v>5</v>
      </c>
      <c r="S53" s="2" t="s">
        <v>47</v>
      </c>
      <c r="T53" s="2" t="s">
        <v>56</v>
      </c>
      <c r="U53" s="2" t="s">
        <v>35</v>
      </c>
    </row>
    <row r="54" spans="1:21">
      <c r="A54" s="2">
        <v>10053</v>
      </c>
      <c r="B54" s="2" t="s">
        <v>218</v>
      </c>
      <c r="C54" s="2" t="s">
        <v>22</v>
      </c>
      <c r="D54" s="2">
        <v>48</v>
      </c>
      <c r="E54" s="2" t="s">
        <v>98</v>
      </c>
      <c r="F54" s="2" t="s">
        <v>80</v>
      </c>
      <c r="G54" s="2" t="s">
        <v>50</v>
      </c>
      <c r="H54" s="2" t="s">
        <v>41</v>
      </c>
      <c r="I54" s="2" t="s">
        <v>219</v>
      </c>
      <c r="J54" s="2" t="s">
        <v>220</v>
      </c>
      <c r="K54" s="2" t="s">
        <v>29</v>
      </c>
      <c r="L54" s="2" t="s">
        <v>54</v>
      </c>
      <c r="M54" s="2">
        <v>51460</v>
      </c>
      <c r="N54" s="2" t="s">
        <v>31</v>
      </c>
      <c r="O54" s="2">
        <v>8859</v>
      </c>
      <c r="P54" s="2" t="s">
        <v>32</v>
      </c>
      <c r="Q54" s="2">
        <v>7</v>
      </c>
      <c r="R54" s="2">
        <v>4</v>
      </c>
      <c r="S54" s="2" t="s">
        <v>47</v>
      </c>
      <c r="T54" s="2" t="s">
        <v>56</v>
      </c>
      <c r="U54" s="2" t="s">
        <v>57</v>
      </c>
    </row>
    <row r="55" spans="1:21">
      <c r="A55" s="2">
        <v>10054</v>
      </c>
      <c r="B55" s="2" t="s">
        <v>221</v>
      </c>
      <c r="C55" s="2" t="s">
        <v>37</v>
      </c>
      <c r="D55" s="2">
        <v>39</v>
      </c>
      <c r="E55" s="2" t="s">
        <v>59</v>
      </c>
      <c r="F55" s="2" t="s">
        <v>102</v>
      </c>
      <c r="G55" s="2" t="s">
        <v>50</v>
      </c>
      <c r="H55" s="2" t="s">
        <v>51</v>
      </c>
      <c r="I55" s="2" t="s">
        <v>222</v>
      </c>
      <c r="J55" s="2" t="s">
        <v>223</v>
      </c>
      <c r="K55" s="2" t="s">
        <v>29</v>
      </c>
      <c r="L55" s="2" t="s">
        <v>44</v>
      </c>
      <c r="M55" s="2">
        <v>84341</v>
      </c>
      <c r="N55" s="2" t="s">
        <v>45</v>
      </c>
      <c r="O55" s="2">
        <v>3800</v>
      </c>
      <c r="P55" s="2" t="s">
        <v>65</v>
      </c>
      <c r="Q55" s="2">
        <v>3</v>
      </c>
      <c r="R55" s="2">
        <v>5</v>
      </c>
      <c r="S55" s="2" t="s">
        <v>33</v>
      </c>
      <c r="T55" s="2" t="s">
        <v>96</v>
      </c>
      <c r="U55" s="2" t="s">
        <v>35</v>
      </c>
    </row>
    <row r="56" spans="1:21">
      <c r="A56" s="2">
        <v>10055</v>
      </c>
      <c r="B56" s="2" t="s">
        <v>224</v>
      </c>
      <c r="C56" s="2" t="s">
        <v>22</v>
      </c>
      <c r="D56" s="2">
        <v>33</v>
      </c>
      <c r="E56" s="2" t="s">
        <v>38</v>
      </c>
      <c r="F56" s="2" t="s">
        <v>102</v>
      </c>
      <c r="G56" s="2" t="s">
        <v>40</v>
      </c>
      <c r="H56" s="2" t="s">
        <v>60</v>
      </c>
      <c r="I56" s="2" t="s">
        <v>222</v>
      </c>
      <c r="J56" s="2" t="s">
        <v>225</v>
      </c>
      <c r="K56" s="2" t="s">
        <v>29</v>
      </c>
      <c r="L56" s="2" t="s">
        <v>54</v>
      </c>
      <c r="M56" s="2">
        <v>77360</v>
      </c>
      <c r="N56" s="2" t="s">
        <v>45</v>
      </c>
      <c r="O56" s="2">
        <v>2665</v>
      </c>
      <c r="P56" s="2" t="s">
        <v>32</v>
      </c>
      <c r="Q56" s="2">
        <v>5</v>
      </c>
      <c r="R56" s="2">
        <v>3</v>
      </c>
      <c r="S56" s="2" t="s">
        <v>46</v>
      </c>
      <c r="T56" s="2" t="s">
        <v>66</v>
      </c>
      <c r="U56" s="2" t="s">
        <v>46</v>
      </c>
    </row>
    <row r="57" spans="1:21">
      <c r="A57" s="2">
        <v>10056</v>
      </c>
      <c r="B57" s="2" t="s">
        <v>226</v>
      </c>
      <c r="C57" s="2" t="s">
        <v>37</v>
      </c>
      <c r="D57" s="2">
        <v>49</v>
      </c>
      <c r="E57" s="2" t="s">
        <v>98</v>
      </c>
      <c r="F57" s="2" t="s">
        <v>102</v>
      </c>
      <c r="G57" s="2" t="s">
        <v>121</v>
      </c>
      <c r="H57" s="2" t="s">
        <v>51</v>
      </c>
      <c r="I57" s="2" t="s">
        <v>222</v>
      </c>
      <c r="J57" s="2" t="s">
        <v>227</v>
      </c>
      <c r="K57" s="2" t="s">
        <v>63</v>
      </c>
      <c r="L57" s="2" t="s">
        <v>44</v>
      </c>
      <c r="M57" s="2">
        <v>72691</v>
      </c>
      <c r="N57" s="2" t="s">
        <v>31</v>
      </c>
      <c r="O57" s="2">
        <v>7797</v>
      </c>
      <c r="P57" s="2" t="s">
        <v>65</v>
      </c>
      <c r="Q57" s="2">
        <v>12</v>
      </c>
      <c r="R57" s="2">
        <v>5</v>
      </c>
      <c r="S57" s="2" t="s">
        <v>47</v>
      </c>
      <c r="T57" s="2" t="s">
        <v>34</v>
      </c>
      <c r="U57" s="2" t="s">
        <v>35</v>
      </c>
    </row>
    <row r="58" spans="1:21">
      <c r="A58" s="2">
        <v>10057</v>
      </c>
      <c r="B58" s="2" t="s">
        <v>228</v>
      </c>
      <c r="C58" s="2" t="s">
        <v>22</v>
      </c>
      <c r="D58" s="2">
        <v>43</v>
      </c>
      <c r="E58" s="2" t="s">
        <v>59</v>
      </c>
      <c r="F58" s="2" t="s">
        <v>102</v>
      </c>
      <c r="G58" s="2" t="s">
        <v>50</v>
      </c>
      <c r="H58" s="2" t="s">
        <v>41</v>
      </c>
      <c r="I58" s="2" t="s">
        <v>229</v>
      </c>
      <c r="J58" s="2" t="s">
        <v>230</v>
      </c>
      <c r="K58" s="2" t="s">
        <v>63</v>
      </c>
      <c r="L58" s="2" t="s">
        <v>54</v>
      </c>
      <c r="M58" s="2">
        <v>74746</v>
      </c>
      <c r="N58" s="2" t="s">
        <v>55</v>
      </c>
      <c r="O58" s="2">
        <v>4644</v>
      </c>
      <c r="P58" s="2" t="s">
        <v>46</v>
      </c>
      <c r="Q58" s="2">
        <v>16</v>
      </c>
      <c r="R58" s="2">
        <v>3</v>
      </c>
      <c r="S58" s="2" t="s">
        <v>33</v>
      </c>
      <c r="T58" s="2" t="s">
        <v>34</v>
      </c>
      <c r="U58" s="2" t="s">
        <v>46</v>
      </c>
    </row>
    <row r="59" spans="1:21">
      <c r="A59" s="2">
        <v>10058</v>
      </c>
      <c r="B59" s="2" t="s">
        <v>231</v>
      </c>
      <c r="C59" s="2" t="s">
        <v>37</v>
      </c>
      <c r="D59" s="2">
        <v>29</v>
      </c>
      <c r="E59" s="2" t="s">
        <v>38</v>
      </c>
      <c r="F59" s="2" t="s">
        <v>80</v>
      </c>
      <c r="G59" s="2" t="s">
        <v>40</v>
      </c>
      <c r="H59" s="2" t="s">
        <v>51</v>
      </c>
      <c r="I59" s="2" t="s">
        <v>232</v>
      </c>
      <c r="J59" s="2" t="s">
        <v>233</v>
      </c>
      <c r="K59" s="2" t="s">
        <v>111</v>
      </c>
      <c r="L59" s="2" t="s">
        <v>54</v>
      </c>
      <c r="M59" s="2">
        <v>95491</v>
      </c>
      <c r="N59" s="2" t="s">
        <v>64</v>
      </c>
      <c r="O59" s="2">
        <v>8819</v>
      </c>
      <c r="P59" s="2" t="s">
        <v>65</v>
      </c>
      <c r="Q59" s="2">
        <v>0</v>
      </c>
      <c r="R59" s="2">
        <v>5</v>
      </c>
      <c r="S59" s="2" t="s">
        <v>46</v>
      </c>
      <c r="T59" s="2" t="s">
        <v>66</v>
      </c>
      <c r="U59" s="2" t="s">
        <v>46</v>
      </c>
    </row>
    <row r="60" spans="1:21">
      <c r="A60" s="2">
        <v>10059</v>
      </c>
      <c r="B60" s="2" t="s">
        <v>234</v>
      </c>
      <c r="C60" s="2" t="s">
        <v>22</v>
      </c>
      <c r="D60" s="2">
        <v>60</v>
      </c>
      <c r="E60" s="2" t="s">
        <v>68</v>
      </c>
      <c r="F60" s="2" t="s">
        <v>24</v>
      </c>
      <c r="G60" s="2" t="s">
        <v>25</v>
      </c>
      <c r="H60" s="2" t="s">
        <v>26</v>
      </c>
      <c r="I60" s="2" t="s">
        <v>229</v>
      </c>
      <c r="J60" s="2" t="s">
        <v>235</v>
      </c>
      <c r="K60" s="2" t="s">
        <v>29</v>
      </c>
      <c r="L60" s="2" t="s">
        <v>44</v>
      </c>
      <c r="M60" s="2">
        <v>95671</v>
      </c>
      <c r="N60" s="2" t="s">
        <v>55</v>
      </c>
      <c r="O60" s="2">
        <v>2643</v>
      </c>
      <c r="P60" s="2" t="s">
        <v>65</v>
      </c>
      <c r="Q60" s="2">
        <v>18</v>
      </c>
      <c r="R60" s="2">
        <v>1</v>
      </c>
      <c r="S60" s="2" t="s">
        <v>46</v>
      </c>
      <c r="T60" s="2" t="s">
        <v>66</v>
      </c>
      <c r="U60" s="2" t="s">
        <v>46</v>
      </c>
    </row>
    <row r="61" spans="1:21">
      <c r="A61" s="2">
        <v>10060</v>
      </c>
      <c r="B61" s="2" t="s">
        <v>236</v>
      </c>
      <c r="C61" s="2" t="s">
        <v>22</v>
      </c>
      <c r="D61" s="2">
        <v>42</v>
      </c>
      <c r="E61" s="2" t="s">
        <v>59</v>
      </c>
      <c r="F61" s="2" t="s">
        <v>24</v>
      </c>
      <c r="G61" s="2" t="s">
        <v>50</v>
      </c>
      <c r="H61" s="2" t="s">
        <v>51</v>
      </c>
      <c r="I61" s="2" t="s">
        <v>232</v>
      </c>
      <c r="J61" s="2" t="s">
        <v>237</v>
      </c>
      <c r="K61" s="2" t="s">
        <v>29</v>
      </c>
      <c r="L61" s="2" t="s">
        <v>44</v>
      </c>
      <c r="M61" s="2">
        <v>40925</v>
      </c>
      <c r="N61" s="2" t="s">
        <v>31</v>
      </c>
      <c r="O61" s="2">
        <v>4223</v>
      </c>
      <c r="P61" s="2" t="s">
        <v>46</v>
      </c>
      <c r="Q61" s="2">
        <v>16</v>
      </c>
      <c r="R61" s="2">
        <v>5</v>
      </c>
      <c r="S61" s="2" t="s">
        <v>47</v>
      </c>
      <c r="T61" s="2" t="s">
        <v>66</v>
      </c>
      <c r="U61" s="2" t="s">
        <v>57</v>
      </c>
    </row>
    <row r="62" spans="1:21">
      <c r="A62" s="2">
        <v>10061</v>
      </c>
      <c r="B62" s="2" t="s">
        <v>238</v>
      </c>
      <c r="C62" s="2" t="s">
        <v>22</v>
      </c>
      <c r="D62" s="2">
        <v>36</v>
      </c>
      <c r="E62" s="2" t="s">
        <v>59</v>
      </c>
      <c r="F62" s="2" t="s">
        <v>80</v>
      </c>
      <c r="G62" s="2" t="s">
        <v>40</v>
      </c>
      <c r="H62" s="2" t="s">
        <v>41</v>
      </c>
      <c r="I62" s="2" t="s">
        <v>229</v>
      </c>
      <c r="J62" s="2" t="s">
        <v>239</v>
      </c>
      <c r="K62" s="2" t="s">
        <v>63</v>
      </c>
      <c r="L62" s="2" t="s">
        <v>44</v>
      </c>
      <c r="M62" s="2">
        <v>64593</v>
      </c>
      <c r="N62" s="2" t="s">
        <v>31</v>
      </c>
      <c r="O62" s="2">
        <v>6492</v>
      </c>
      <c r="P62" s="2" t="s">
        <v>46</v>
      </c>
      <c r="Q62" s="2">
        <v>2</v>
      </c>
      <c r="R62" s="2">
        <v>3</v>
      </c>
      <c r="S62" s="2" t="s">
        <v>46</v>
      </c>
      <c r="T62" s="2" t="s">
        <v>34</v>
      </c>
      <c r="U62" s="2" t="s">
        <v>35</v>
      </c>
    </row>
    <row r="63" spans="1:21">
      <c r="A63" s="2">
        <v>10062</v>
      </c>
      <c r="B63" s="2" t="s">
        <v>240</v>
      </c>
      <c r="C63" s="2" t="s">
        <v>37</v>
      </c>
      <c r="D63" s="2">
        <v>33</v>
      </c>
      <c r="E63" s="2" t="s">
        <v>38</v>
      </c>
      <c r="F63" s="2" t="s">
        <v>24</v>
      </c>
      <c r="G63" s="2" t="s">
        <v>121</v>
      </c>
      <c r="H63" s="2" t="s">
        <v>26</v>
      </c>
      <c r="I63" s="2" t="s">
        <v>229</v>
      </c>
      <c r="J63" s="2" t="s">
        <v>241</v>
      </c>
      <c r="K63" s="2" t="s">
        <v>63</v>
      </c>
      <c r="L63" s="2" t="s">
        <v>54</v>
      </c>
      <c r="M63" s="2">
        <v>44149</v>
      </c>
      <c r="N63" s="2" t="s">
        <v>31</v>
      </c>
      <c r="O63" s="2">
        <v>7407</v>
      </c>
      <c r="P63" s="2" t="s">
        <v>32</v>
      </c>
      <c r="Q63" s="2">
        <v>17</v>
      </c>
      <c r="R63" s="2">
        <v>3</v>
      </c>
      <c r="S63" s="2" t="s">
        <v>46</v>
      </c>
      <c r="T63" s="2" t="s">
        <v>96</v>
      </c>
      <c r="U63" s="2" t="s">
        <v>46</v>
      </c>
    </row>
    <row r="64" spans="1:21">
      <c r="A64" s="2">
        <v>10063</v>
      </c>
      <c r="B64" s="2" t="s">
        <v>242</v>
      </c>
      <c r="C64" s="2" t="s">
        <v>22</v>
      </c>
      <c r="D64" s="2">
        <v>31</v>
      </c>
      <c r="E64" s="2" t="s">
        <v>38</v>
      </c>
      <c r="F64" s="2" t="s">
        <v>24</v>
      </c>
      <c r="G64" s="2" t="s">
        <v>121</v>
      </c>
      <c r="H64" s="2" t="s">
        <v>26</v>
      </c>
      <c r="I64" s="2" t="s">
        <v>232</v>
      </c>
      <c r="J64" s="2" t="s">
        <v>243</v>
      </c>
      <c r="K64" s="2" t="s">
        <v>29</v>
      </c>
      <c r="L64" s="2" t="s">
        <v>30</v>
      </c>
      <c r="M64" s="2">
        <v>52519</v>
      </c>
      <c r="N64" s="2" t="s">
        <v>31</v>
      </c>
      <c r="O64" s="2">
        <v>2677</v>
      </c>
      <c r="P64" s="2" t="s">
        <v>32</v>
      </c>
      <c r="Q64" s="2">
        <v>14</v>
      </c>
      <c r="R64" s="2">
        <v>1</v>
      </c>
      <c r="S64" s="2" t="s">
        <v>47</v>
      </c>
      <c r="T64" s="2" t="s">
        <v>75</v>
      </c>
      <c r="U64" s="2" t="s">
        <v>46</v>
      </c>
    </row>
    <row r="65" spans="1:21">
      <c r="A65" s="2">
        <v>10064</v>
      </c>
      <c r="B65" s="2" t="s">
        <v>244</v>
      </c>
      <c r="C65" s="2" t="s">
        <v>37</v>
      </c>
      <c r="D65" s="2">
        <v>45</v>
      </c>
      <c r="E65" s="2" t="s">
        <v>59</v>
      </c>
      <c r="F65" s="2" t="s">
        <v>24</v>
      </c>
      <c r="G65" s="2" t="s">
        <v>72</v>
      </c>
      <c r="H65" s="2" t="s">
        <v>51</v>
      </c>
      <c r="I65" s="2" t="s">
        <v>214</v>
      </c>
      <c r="J65" s="2" t="s">
        <v>245</v>
      </c>
      <c r="K65" s="2" t="s">
        <v>63</v>
      </c>
      <c r="L65" s="2" t="s">
        <v>30</v>
      </c>
      <c r="M65" s="2">
        <v>95503</v>
      </c>
      <c r="N65" s="2" t="s">
        <v>55</v>
      </c>
      <c r="O65" s="2">
        <v>6862</v>
      </c>
      <c r="P65" s="2" t="s">
        <v>32</v>
      </c>
      <c r="Q65" s="2">
        <v>5</v>
      </c>
      <c r="R65" s="2">
        <v>2</v>
      </c>
      <c r="S65" s="2" t="s">
        <v>47</v>
      </c>
      <c r="T65" s="2" t="s">
        <v>75</v>
      </c>
      <c r="U65" s="2" t="s">
        <v>46</v>
      </c>
    </row>
    <row r="66" spans="1:21">
      <c r="A66" s="2">
        <v>10065</v>
      </c>
      <c r="B66" s="2" t="s">
        <v>216</v>
      </c>
      <c r="C66" s="2" t="s">
        <v>37</v>
      </c>
      <c r="D66" s="2">
        <v>21</v>
      </c>
      <c r="E66" s="2" t="s">
        <v>23</v>
      </c>
      <c r="F66" s="2" t="s">
        <v>39</v>
      </c>
      <c r="G66" s="2" t="s">
        <v>40</v>
      </c>
      <c r="H66" s="2" t="s">
        <v>60</v>
      </c>
      <c r="I66" s="2" t="s">
        <v>232</v>
      </c>
      <c r="J66" s="2" t="s">
        <v>246</v>
      </c>
      <c r="K66" s="2" t="s">
        <v>63</v>
      </c>
      <c r="L66" s="2" t="s">
        <v>44</v>
      </c>
      <c r="M66" s="2">
        <v>74633</v>
      </c>
      <c r="N66" s="2" t="s">
        <v>31</v>
      </c>
      <c r="O66" s="2">
        <v>4970</v>
      </c>
      <c r="P66" s="2" t="s">
        <v>65</v>
      </c>
      <c r="Q66" s="2">
        <v>14</v>
      </c>
      <c r="R66" s="2">
        <v>4</v>
      </c>
      <c r="S66" s="2" t="s">
        <v>46</v>
      </c>
      <c r="T66" s="2" t="s">
        <v>34</v>
      </c>
      <c r="U66" s="2" t="s">
        <v>46</v>
      </c>
    </row>
    <row r="67" spans="1:21">
      <c r="A67" s="2">
        <v>10066</v>
      </c>
      <c r="B67" s="2" t="s">
        <v>247</v>
      </c>
      <c r="C67" s="2" t="s">
        <v>37</v>
      </c>
      <c r="D67" s="2">
        <v>25</v>
      </c>
      <c r="E67" s="2" t="s">
        <v>23</v>
      </c>
      <c r="F67" s="2" t="s">
        <v>80</v>
      </c>
      <c r="G67" s="2" t="s">
        <v>40</v>
      </c>
      <c r="H67" s="2" t="s">
        <v>51</v>
      </c>
      <c r="I67" s="2" t="s">
        <v>229</v>
      </c>
      <c r="J67" s="2" t="s">
        <v>248</v>
      </c>
      <c r="K67" s="2" t="s">
        <v>111</v>
      </c>
      <c r="L67" s="2" t="s">
        <v>30</v>
      </c>
      <c r="M67" s="2">
        <v>45687</v>
      </c>
      <c r="N67" s="2" t="s">
        <v>31</v>
      </c>
      <c r="O67" s="2">
        <v>9351</v>
      </c>
      <c r="P67" s="2" t="s">
        <v>32</v>
      </c>
      <c r="Q67" s="2">
        <v>4</v>
      </c>
      <c r="R67" s="2">
        <v>4</v>
      </c>
      <c r="S67" s="2" t="s">
        <v>46</v>
      </c>
      <c r="T67" s="2" t="s">
        <v>96</v>
      </c>
      <c r="U67" s="2" t="s">
        <v>35</v>
      </c>
    </row>
    <row r="68" spans="1:21">
      <c r="A68" s="2">
        <v>10067</v>
      </c>
      <c r="B68" s="2" t="s">
        <v>231</v>
      </c>
      <c r="C68" s="2" t="s">
        <v>37</v>
      </c>
      <c r="D68" s="2">
        <v>21</v>
      </c>
      <c r="E68" s="2" t="s">
        <v>23</v>
      </c>
      <c r="F68" s="2" t="s">
        <v>102</v>
      </c>
      <c r="G68" s="2" t="s">
        <v>72</v>
      </c>
      <c r="H68" s="2" t="s">
        <v>41</v>
      </c>
      <c r="I68" s="2" t="s">
        <v>229</v>
      </c>
      <c r="J68" s="2" t="s">
        <v>249</v>
      </c>
      <c r="K68" s="2" t="s">
        <v>29</v>
      </c>
      <c r="L68" s="2" t="s">
        <v>54</v>
      </c>
      <c r="M68" s="2">
        <v>38728</v>
      </c>
      <c r="N68" s="2" t="s">
        <v>64</v>
      </c>
      <c r="O68" s="2">
        <v>2444</v>
      </c>
      <c r="P68" s="2" t="s">
        <v>32</v>
      </c>
      <c r="Q68" s="2">
        <v>2</v>
      </c>
      <c r="R68" s="2">
        <v>2</v>
      </c>
      <c r="S68" s="2" t="s">
        <v>33</v>
      </c>
      <c r="T68" s="2" t="s">
        <v>56</v>
      </c>
      <c r="U68" s="2" t="s">
        <v>46</v>
      </c>
    </row>
    <row r="69" spans="1:21">
      <c r="A69" s="2">
        <v>10068</v>
      </c>
      <c r="B69" s="2" t="s">
        <v>250</v>
      </c>
      <c r="C69" s="2" t="s">
        <v>22</v>
      </c>
      <c r="D69" s="2">
        <v>52</v>
      </c>
      <c r="E69" s="2" t="s">
        <v>98</v>
      </c>
      <c r="F69" s="2" t="s">
        <v>39</v>
      </c>
      <c r="G69" s="2" t="s">
        <v>72</v>
      </c>
      <c r="H69" s="2" t="s">
        <v>81</v>
      </c>
      <c r="I69" s="2" t="s">
        <v>214</v>
      </c>
      <c r="J69" s="2" t="s">
        <v>251</v>
      </c>
      <c r="K69" s="2" t="s">
        <v>63</v>
      </c>
      <c r="L69" s="2" t="s">
        <v>30</v>
      </c>
      <c r="M69" s="2">
        <v>52630</v>
      </c>
      <c r="N69" s="2" t="s">
        <v>45</v>
      </c>
      <c r="O69" s="2">
        <v>4861</v>
      </c>
      <c r="P69" s="2" t="s">
        <v>65</v>
      </c>
      <c r="Q69" s="2">
        <v>18</v>
      </c>
      <c r="R69" s="2">
        <v>3</v>
      </c>
      <c r="S69" s="2" t="s">
        <v>33</v>
      </c>
      <c r="T69" s="2" t="s">
        <v>96</v>
      </c>
      <c r="U69" s="2" t="s">
        <v>46</v>
      </c>
    </row>
    <row r="70" spans="1:21">
      <c r="A70" s="2">
        <v>10069</v>
      </c>
      <c r="B70" s="2" t="s">
        <v>252</v>
      </c>
      <c r="C70" s="2" t="s">
        <v>22</v>
      </c>
      <c r="D70" s="2">
        <v>59</v>
      </c>
      <c r="E70" s="2" t="s">
        <v>68</v>
      </c>
      <c r="F70" s="2" t="s">
        <v>80</v>
      </c>
      <c r="G70" s="2" t="s">
        <v>72</v>
      </c>
      <c r="H70" s="2" t="s">
        <v>41</v>
      </c>
      <c r="I70" s="2" t="s">
        <v>229</v>
      </c>
      <c r="J70" s="2" t="s">
        <v>253</v>
      </c>
      <c r="K70" s="2" t="s">
        <v>111</v>
      </c>
      <c r="L70" s="2" t="s">
        <v>44</v>
      </c>
      <c r="M70" s="2">
        <v>43990</v>
      </c>
      <c r="N70" s="2" t="s">
        <v>64</v>
      </c>
      <c r="O70" s="2">
        <v>6110</v>
      </c>
      <c r="P70" s="2" t="s">
        <v>32</v>
      </c>
      <c r="Q70" s="2">
        <v>6</v>
      </c>
      <c r="R70" s="2">
        <v>5</v>
      </c>
      <c r="S70" s="2" t="s">
        <v>47</v>
      </c>
      <c r="T70" s="2" t="s">
        <v>56</v>
      </c>
      <c r="U70" s="2" t="s">
        <v>57</v>
      </c>
    </row>
    <row r="71" spans="1:21">
      <c r="A71" s="2">
        <v>10070</v>
      </c>
      <c r="B71" s="2" t="s">
        <v>254</v>
      </c>
      <c r="C71" s="2" t="s">
        <v>37</v>
      </c>
      <c r="D71" s="2">
        <v>40</v>
      </c>
      <c r="E71" s="2" t="s">
        <v>59</v>
      </c>
      <c r="F71" s="2" t="s">
        <v>80</v>
      </c>
      <c r="G71" s="2" t="s">
        <v>121</v>
      </c>
      <c r="H71" s="2" t="s">
        <v>51</v>
      </c>
      <c r="I71" s="2" t="s">
        <v>255</v>
      </c>
      <c r="J71" s="2" t="s">
        <v>256</v>
      </c>
      <c r="K71" s="2" t="s">
        <v>63</v>
      </c>
      <c r="L71" s="2" t="s">
        <v>30</v>
      </c>
      <c r="M71" s="2">
        <v>94985</v>
      </c>
      <c r="N71" s="2" t="s">
        <v>64</v>
      </c>
      <c r="O71" s="2">
        <v>1488</v>
      </c>
      <c r="P71" s="2" t="s">
        <v>46</v>
      </c>
      <c r="Q71" s="2">
        <v>19</v>
      </c>
      <c r="R71" s="2">
        <v>4</v>
      </c>
      <c r="S71" s="2" t="s">
        <v>33</v>
      </c>
      <c r="T71" s="2" t="s">
        <v>75</v>
      </c>
      <c r="U71" s="2" t="s">
        <v>57</v>
      </c>
    </row>
    <row r="72" spans="1:21">
      <c r="A72" s="2">
        <v>10071</v>
      </c>
      <c r="B72" s="2" t="s">
        <v>257</v>
      </c>
      <c r="C72" s="2" t="s">
        <v>37</v>
      </c>
      <c r="D72" s="2">
        <v>50</v>
      </c>
      <c r="E72" s="2" t="s">
        <v>98</v>
      </c>
      <c r="F72" s="2" t="s">
        <v>39</v>
      </c>
      <c r="G72" s="2" t="s">
        <v>50</v>
      </c>
      <c r="H72" s="2" t="s">
        <v>51</v>
      </c>
      <c r="I72" s="2" t="s">
        <v>229</v>
      </c>
      <c r="J72" s="2" t="s">
        <v>258</v>
      </c>
      <c r="K72" s="2" t="s">
        <v>63</v>
      </c>
      <c r="L72" s="2" t="s">
        <v>44</v>
      </c>
      <c r="M72" s="2">
        <v>65838</v>
      </c>
      <c r="N72" s="2" t="s">
        <v>45</v>
      </c>
      <c r="O72" s="2">
        <v>9661</v>
      </c>
      <c r="P72" s="2" t="s">
        <v>46</v>
      </c>
      <c r="Q72" s="2">
        <v>10</v>
      </c>
      <c r="R72" s="2">
        <v>1</v>
      </c>
      <c r="S72" s="2" t="s">
        <v>46</v>
      </c>
      <c r="T72" s="2" t="s">
        <v>96</v>
      </c>
      <c r="U72" s="2" t="s">
        <v>57</v>
      </c>
    </row>
    <row r="73" spans="1:21">
      <c r="A73" s="2">
        <v>10072</v>
      </c>
      <c r="B73" s="2" t="s">
        <v>259</v>
      </c>
      <c r="C73" s="2" t="s">
        <v>22</v>
      </c>
      <c r="D73" s="2">
        <v>25</v>
      </c>
      <c r="E73" s="2" t="s">
        <v>23</v>
      </c>
      <c r="F73" s="2" t="s">
        <v>102</v>
      </c>
      <c r="G73" s="2" t="s">
        <v>25</v>
      </c>
      <c r="H73" s="2" t="s">
        <v>26</v>
      </c>
      <c r="I73" s="2" t="s">
        <v>255</v>
      </c>
      <c r="J73" s="2" t="s">
        <v>156</v>
      </c>
      <c r="K73" s="2" t="s">
        <v>111</v>
      </c>
      <c r="L73" s="2" t="s">
        <v>54</v>
      </c>
      <c r="M73" s="2">
        <v>55313</v>
      </c>
      <c r="N73" s="2" t="s">
        <v>55</v>
      </c>
      <c r="O73" s="2">
        <v>2421</v>
      </c>
      <c r="P73" s="2" t="s">
        <v>46</v>
      </c>
      <c r="Q73" s="2">
        <v>18</v>
      </c>
      <c r="R73" s="2">
        <v>3</v>
      </c>
      <c r="S73" s="2" t="s">
        <v>33</v>
      </c>
      <c r="T73" s="2" t="s">
        <v>75</v>
      </c>
      <c r="U73" s="2" t="s">
        <v>46</v>
      </c>
    </row>
    <row r="74" spans="1:21">
      <c r="A74" s="2">
        <v>10073</v>
      </c>
      <c r="B74" s="2" t="s">
        <v>260</v>
      </c>
      <c r="C74" s="2" t="s">
        <v>22</v>
      </c>
      <c r="D74" s="2">
        <v>42</v>
      </c>
      <c r="E74" s="2" t="s">
        <v>59</v>
      </c>
      <c r="F74" s="2" t="s">
        <v>102</v>
      </c>
      <c r="G74" s="2" t="s">
        <v>121</v>
      </c>
      <c r="H74" s="2" t="s">
        <v>51</v>
      </c>
      <c r="I74" s="2" t="s">
        <v>255</v>
      </c>
      <c r="J74" s="2" t="s">
        <v>261</v>
      </c>
      <c r="K74" s="2" t="s">
        <v>63</v>
      </c>
      <c r="L74" s="2" t="s">
        <v>44</v>
      </c>
      <c r="M74" s="2">
        <v>44964</v>
      </c>
      <c r="N74" s="2" t="s">
        <v>45</v>
      </c>
      <c r="O74" s="2">
        <v>6062</v>
      </c>
      <c r="P74" s="2" t="s">
        <v>46</v>
      </c>
      <c r="Q74" s="2">
        <v>18</v>
      </c>
      <c r="R74" s="2">
        <v>3</v>
      </c>
      <c r="S74" s="2" t="s">
        <v>47</v>
      </c>
      <c r="T74" s="2" t="s">
        <v>34</v>
      </c>
      <c r="U74" s="2" t="s">
        <v>35</v>
      </c>
    </row>
    <row r="75" spans="1:21">
      <c r="A75" s="2">
        <v>10074</v>
      </c>
      <c r="B75" s="2" t="s">
        <v>262</v>
      </c>
      <c r="C75" s="2" t="s">
        <v>37</v>
      </c>
      <c r="D75" s="2">
        <v>60</v>
      </c>
      <c r="E75" s="2" t="s">
        <v>68</v>
      </c>
      <c r="F75" s="2" t="s">
        <v>24</v>
      </c>
      <c r="G75" s="2" t="s">
        <v>121</v>
      </c>
      <c r="H75" s="2" t="s">
        <v>81</v>
      </c>
      <c r="I75" s="2" t="s">
        <v>219</v>
      </c>
      <c r="J75" s="2" t="s">
        <v>263</v>
      </c>
      <c r="K75" s="2" t="s">
        <v>29</v>
      </c>
      <c r="L75" s="2" t="s">
        <v>44</v>
      </c>
      <c r="M75" s="2">
        <v>32801</v>
      </c>
      <c r="N75" s="2" t="s">
        <v>45</v>
      </c>
      <c r="O75" s="2">
        <v>7841</v>
      </c>
      <c r="P75" s="2" t="s">
        <v>65</v>
      </c>
      <c r="Q75" s="2">
        <v>19</v>
      </c>
      <c r="R75" s="2">
        <v>4</v>
      </c>
      <c r="S75" s="2" t="s">
        <v>46</v>
      </c>
      <c r="T75" s="2" t="s">
        <v>66</v>
      </c>
      <c r="U75" s="2" t="s">
        <v>46</v>
      </c>
    </row>
    <row r="76" spans="1:21">
      <c r="A76" s="2">
        <v>10075</v>
      </c>
      <c r="B76" s="2" t="s">
        <v>264</v>
      </c>
      <c r="C76" s="2" t="s">
        <v>37</v>
      </c>
      <c r="D76" s="2">
        <v>59</v>
      </c>
      <c r="E76" s="2" t="s">
        <v>68</v>
      </c>
      <c r="F76" s="2" t="s">
        <v>39</v>
      </c>
      <c r="G76" s="2" t="s">
        <v>121</v>
      </c>
      <c r="H76" s="2" t="s">
        <v>41</v>
      </c>
      <c r="I76" s="2" t="s">
        <v>214</v>
      </c>
      <c r="J76" s="2" t="s">
        <v>265</v>
      </c>
      <c r="K76" s="2" t="s">
        <v>29</v>
      </c>
      <c r="L76" s="2" t="s">
        <v>30</v>
      </c>
      <c r="M76" s="2">
        <v>91316</v>
      </c>
      <c r="N76" s="2" t="s">
        <v>31</v>
      </c>
      <c r="O76" s="2">
        <v>9911</v>
      </c>
      <c r="P76" s="2" t="s">
        <v>32</v>
      </c>
      <c r="Q76" s="2">
        <v>14</v>
      </c>
      <c r="R76" s="2">
        <v>3</v>
      </c>
      <c r="S76" s="2" t="s">
        <v>47</v>
      </c>
      <c r="T76" s="2" t="s">
        <v>66</v>
      </c>
      <c r="U76" s="2" t="s">
        <v>35</v>
      </c>
    </row>
    <row r="77" spans="1:21">
      <c r="A77" s="2">
        <v>10076</v>
      </c>
      <c r="B77" s="2" t="s">
        <v>266</v>
      </c>
      <c r="C77" s="2" t="s">
        <v>22</v>
      </c>
      <c r="D77" s="2">
        <v>58</v>
      </c>
      <c r="E77" s="2" t="s">
        <v>68</v>
      </c>
      <c r="F77" s="2" t="s">
        <v>49</v>
      </c>
      <c r="G77" s="2" t="s">
        <v>121</v>
      </c>
      <c r="H77" s="2" t="s">
        <v>41</v>
      </c>
      <c r="I77" s="2" t="s">
        <v>229</v>
      </c>
      <c r="J77" s="2" t="s">
        <v>267</v>
      </c>
      <c r="K77" s="2" t="s">
        <v>111</v>
      </c>
      <c r="L77" s="2" t="s">
        <v>44</v>
      </c>
      <c r="M77" s="2">
        <v>39073</v>
      </c>
      <c r="N77" s="2" t="s">
        <v>55</v>
      </c>
      <c r="O77" s="2">
        <v>6895</v>
      </c>
      <c r="P77" s="2" t="s">
        <v>46</v>
      </c>
      <c r="Q77" s="2">
        <v>8</v>
      </c>
      <c r="R77" s="2">
        <v>1</v>
      </c>
      <c r="S77" s="2" t="s">
        <v>46</v>
      </c>
      <c r="T77" s="2" t="s">
        <v>75</v>
      </c>
      <c r="U77" s="2" t="s">
        <v>57</v>
      </c>
    </row>
    <row r="78" spans="1:21">
      <c r="A78" s="2">
        <v>10077</v>
      </c>
      <c r="B78" s="2" t="s">
        <v>268</v>
      </c>
      <c r="C78" s="2" t="s">
        <v>22</v>
      </c>
      <c r="D78" s="2">
        <v>49</v>
      </c>
      <c r="E78" s="2" t="s">
        <v>98</v>
      </c>
      <c r="F78" s="2" t="s">
        <v>24</v>
      </c>
      <c r="G78" s="2" t="s">
        <v>25</v>
      </c>
      <c r="H78" s="2" t="s">
        <v>26</v>
      </c>
      <c r="I78" s="2" t="s">
        <v>255</v>
      </c>
      <c r="J78" s="2" t="s">
        <v>269</v>
      </c>
      <c r="K78" s="2" t="s">
        <v>63</v>
      </c>
      <c r="L78" s="2" t="s">
        <v>44</v>
      </c>
      <c r="M78" s="2">
        <v>65508</v>
      </c>
      <c r="N78" s="2" t="s">
        <v>31</v>
      </c>
      <c r="O78" s="2">
        <v>1012</v>
      </c>
      <c r="P78" s="2" t="s">
        <v>46</v>
      </c>
      <c r="Q78" s="2">
        <v>13</v>
      </c>
      <c r="R78" s="2">
        <v>5</v>
      </c>
      <c r="S78" s="2" t="s">
        <v>46</v>
      </c>
      <c r="T78" s="2" t="s">
        <v>56</v>
      </c>
      <c r="U78" s="2" t="s">
        <v>46</v>
      </c>
    </row>
    <row r="79" spans="1:21">
      <c r="A79" s="2">
        <v>10078</v>
      </c>
      <c r="B79" s="2" t="s">
        <v>270</v>
      </c>
      <c r="C79" s="2" t="s">
        <v>37</v>
      </c>
      <c r="D79" s="2">
        <v>27</v>
      </c>
      <c r="E79" s="2" t="s">
        <v>38</v>
      </c>
      <c r="F79" s="2" t="s">
        <v>39</v>
      </c>
      <c r="G79" s="2" t="s">
        <v>72</v>
      </c>
      <c r="H79" s="2" t="s">
        <v>51</v>
      </c>
      <c r="I79" s="2" t="s">
        <v>214</v>
      </c>
      <c r="J79" s="2" t="s">
        <v>271</v>
      </c>
      <c r="K79" s="2" t="s">
        <v>29</v>
      </c>
      <c r="L79" s="2" t="s">
        <v>54</v>
      </c>
      <c r="M79" s="2">
        <v>32152</v>
      </c>
      <c r="N79" s="2" t="s">
        <v>45</v>
      </c>
      <c r="O79" s="2">
        <v>2312</v>
      </c>
      <c r="P79" s="2" t="s">
        <v>32</v>
      </c>
      <c r="Q79" s="2">
        <v>7</v>
      </c>
      <c r="R79" s="2">
        <v>2</v>
      </c>
      <c r="S79" s="2" t="s">
        <v>46</v>
      </c>
      <c r="T79" s="2" t="s">
        <v>56</v>
      </c>
      <c r="U79" s="2" t="s">
        <v>35</v>
      </c>
    </row>
    <row r="80" spans="1:21">
      <c r="A80" s="2">
        <v>10079</v>
      </c>
      <c r="B80" s="2" t="s">
        <v>252</v>
      </c>
      <c r="C80" s="2" t="s">
        <v>37</v>
      </c>
      <c r="D80" s="2">
        <v>35</v>
      </c>
      <c r="E80" s="2" t="s">
        <v>38</v>
      </c>
      <c r="F80" s="2" t="s">
        <v>80</v>
      </c>
      <c r="G80" s="2" t="s">
        <v>25</v>
      </c>
      <c r="H80" s="2" t="s">
        <v>81</v>
      </c>
      <c r="I80" s="2" t="s">
        <v>222</v>
      </c>
      <c r="J80" s="2" t="s">
        <v>272</v>
      </c>
      <c r="K80" s="2" t="s">
        <v>111</v>
      </c>
      <c r="L80" s="2" t="s">
        <v>30</v>
      </c>
      <c r="M80" s="2">
        <v>85710</v>
      </c>
      <c r="N80" s="2" t="s">
        <v>31</v>
      </c>
      <c r="O80" s="2">
        <v>3870</v>
      </c>
      <c r="P80" s="2" t="s">
        <v>46</v>
      </c>
      <c r="Q80" s="2">
        <v>12</v>
      </c>
      <c r="R80" s="2">
        <v>1</v>
      </c>
      <c r="S80" s="2" t="s">
        <v>46</v>
      </c>
      <c r="T80" s="2" t="s">
        <v>66</v>
      </c>
      <c r="U80" s="2" t="s">
        <v>35</v>
      </c>
    </row>
    <row r="81" spans="1:21">
      <c r="A81" s="2">
        <v>10080</v>
      </c>
      <c r="B81" s="2" t="s">
        <v>266</v>
      </c>
      <c r="C81" s="2" t="s">
        <v>22</v>
      </c>
      <c r="D81" s="2">
        <v>38</v>
      </c>
      <c r="E81" s="2" t="s">
        <v>59</v>
      </c>
      <c r="F81" s="2" t="s">
        <v>39</v>
      </c>
      <c r="G81" s="2" t="s">
        <v>40</v>
      </c>
      <c r="H81" s="2" t="s">
        <v>41</v>
      </c>
      <c r="I81" s="2" t="s">
        <v>222</v>
      </c>
      <c r="J81" s="2" t="s">
        <v>273</v>
      </c>
      <c r="K81" s="2" t="s">
        <v>29</v>
      </c>
      <c r="L81" s="2" t="s">
        <v>54</v>
      </c>
      <c r="M81" s="2">
        <v>73232</v>
      </c>
      <c r="N81" s="2" t="s">
        <v>45</v>
      </c>
      <c r="O81" s="2">
        <v>5506</v>
      </c>
      <c r="P81" s="2" t="s">
        <v>65</v>
      </c>
      <c r="Q81" s="2">
        <v>9</v>
      </c>
      <c r="R81" s="2">
        <v>1</v>
      </c>
      <c r="S81" s="2" t="s">
        <v>33</v>
      </c>
      <c r="T81" s="2" t="s">
        <v>34</v>
      </c>
      <c r="U81" s="2" t="s">
        <v>35</v>
      </c>
    </row>
    <row r="82" spans="1:21">
      <c r="A82" s="2">
        <v>10081</v>
      </c>
      <c r="B82" s="2" t="s">
        <v>274</v>
      </c>
      <c r="C82" s="2" t="s">
        <v>22</v>
      </c>
      <c r="D82" s="2">
        <v>23</v>
      </c>
      <c r="E82" s="2" t="s">
        <v>23</v>
      </c>
      <c r="F82" s="2" t="s">
        <v>102</v>
      </c>
      <c r="G82" s="2" t="s">
        <v>50</v>
      </c>
      <c r="H82" s="2" t="s">
        <v>41</v>
      </c>
      <c r="I82" s="2" t="s">
        <v>214</v>
      </c>
      <c r="J82" s="2" t="s">
        <v>275</v>
      </c>
      <c r="K82" s="2" t="s">
        <v>29</v>
      </c>
      <c r="L82" s="2" t="s">
        <v>30</v>
      </c>
      <c r="M82" s="2">
        <v>33994</v>
      </c>
      <c r="N82" s="2" t="s">
        <v>45</v>
      </c>
      <c r="O82" s="2">
        <v>1162</v>
      </c>
      <c r="P82" s="2" t="s">
        <v>32</v>
      </c>
      <c r="Q82" s="2">
        <v>5</v>
      </c>
      <c r="R82" s="2">
        <v>1</v>
      </c>
      <c r="S82" s="2" t="s">
        <v>33</v>
      </c>
      <c r="T82" s="2" t="s">
        <v>75</v>
      </c>
      <c r="U82" s="2" t="s">
        <v>35</v>
      </c>
    </row>
    <row r="83" spans="1:21">
      <c r="A83" s="2">
        <v>10082</v>
      </c>
      <c r="B83" s="2" t="s">
        <v>276</v>
      </c>
      <c r="C83" s="2" t="s">
        <v>37</v>
      </c>
      <c r="D83" s="2">
        <v>52</v>
      </c>
      <c r="E83" s="2" t="s">
        <v>98</v>
      </c>
      <c r="F83" s="2" t="s">
        <v>49</v>
      </c>
      <c r="G83" s="2" t="s">
        <v>25</v>
      </c>
      <c r="H83" s="2" t="s">
        <v>41</v>
      </c>
      <c r="I83" s="2" t="s">
        <v>229</v>
      </c>
      <c r="J83" s="2" t="s">
        <v>277</v>
      </c>
      <c r="K83" s="2" t="s">
        <v>63</v>
      </c>
      <c r="L83" s="2" t="s">
        <v>30</v>
      </c>
      <c r="M83" s="2">
        <v>32395</v>
      </c>
      <c r="N83" s="2" t="s">
        <v>45</v>
      </c>
      <c r="O83" s="2">
        <v>3515</v>
      </c>
      <c r="P83" s="2" t="s">
        <v>65</v>
      </c>
      <c r="Q83" s="2">
        <v>4</v>
      </c>
      <c r="R83" s="2">
        <v>5</v>
      </c>
      <c r="S83" s="2" t="s">
        <v>33</v>
      </c>
      <c r="T83" s="2" t="s">
        <v>34</v>
      </c>
      <c r="U83" s="2" t="s">
        <v>35</v>
      </c>
    </row>
    <row r="84" spans="1:21">
      <c r="A84" s="2">
        <v>10083</v>
      </c>
      <c r="B84" s="2" t="s">
        <v>278</v>
      </c>
      <c r="C84" s="2" t="s">
        <v>37</v>
      </c>
      <c r="D84" s="2">
        <v>50</v>
      </c>
      <c r="E84" s="2" t="s">
        <v>98</v>
      </c>
      <c r="F84" s="2" t="s">
        <v>49</v>
      </c>
      <c r="G84" s="2" t="s">
        <v>121</v>
      </c>
      <c r="H84" s="2" t="s">
        <v>81</v>
      </c>
      <c r="I84" s="2" t="s">
        <v>229</v>
      </c>
      <c r="J84" s="2" t="s">
        <v>279</v>
      </c>
      <c r="K84" s="2" t="s">
        <v>111</v>
      </c>
      <c r="L84" s="2" t="s">
        <v>54</v>
      </c>
      <c r="M84" s="2">
        <v>88353</v>
      </c>
      <c r="N84" s="2" t="s">
        <v>45</v>
      </c>
      <c r="O84" s="2">
        <v>6847</v>
      </c>
      <c r="P84" s="2" t="s">
        <v>32</v>
      </c>
      <c r="Q84" s="2">
        <v>15</v>
      </c>
      <c r="R84" s="2">
        <v>5</v>
      </c>
      <c r="S84" s="2" t="s">
        <v>33</v>
      </c>
      <c r="T84" s="2" t="s">
        <v>56</v>
      </c>
      <c r="U84" s="2" t="s">
        <v>57</v>
      </c>
    </row>
    <row r="85" spans="1:21">
      <c r="A85" s="2">
        <v>10084</v>
      </c>
      <c r="B85" s="2" t="s">
        <v>280</v>
      </c>
      <c r="C85" s="2" t="s">
        <v>22</v>
      </c>
      <c r="D85" s="2">
        <v>34</v>
      </c>
      <c r="E85" s="2" t="s">
        <v>38</v>
      </c>
      <c r="F85" s="2" t="s">
        <v>80</v>
      </c>
      <c r="G85" s="2" t="s">
        <v>121</v>
      </c>
      <c r="H85" s="2" t="s">
        <v>41</v>
      </c>
      <c r="I85" s="2" t="s">
        <v>232</v>
      </c>
      <c r="J85" s="2" t="s">
        <v>281</v>
      </c>
      <c r="K85" s="2" t="s">
        <v>111</v>
      </c>
      <c r="L85" s="2" t="s">
        <v>30</v>
      </c>
      <c r="M85" s="2">
        <v>47269</v>
      </c>
      <c r="N85" s="2" t="s">
        <v>45</v>
      </c>
      <c r="O85" s="2">
        <v>5626</v>
      </c>
      <c r="P85" s="2" t="s">
        <v>46</v>
      </c>
      <c r="Q85" s="2">
        <v>14</v>
      </c>
      <c r="R85" s="2">
        <v>3</v>
      </c>
      <c r="S85" s="2" t="s">
        <v>33</v>
      </c>
      <c r="T85" s="2" t="s">
        <v>34</v>
      </c>
      <c r="U85" s="2" t="s">
        <v>35</v>
      </c>
    </row>
    <row r="86" spans="1:21">
      <c r="A86" s="2">
        <v>10085</v>
      </c>
      <c r="B86" s="2" t="s">
        <v>282</v>
      </c>
      <c r="C86" s="2" t="s">
        <v>22</v>
      </c>
      <c r="D86" s="2">
        <v>40</v>
      </c>
      <c r="E86" s="2" t="s">
        <v>59</v>
      </c>
      <c r="F86" s="2" t="s">
        <v>39</v>
      </c>
      <c r="G86" s="2" t="s">
        <v>121</v>
      </c>
      <c r="H86" s="2" t="s">
        <v>81</v>
      </c>
      <c r="I86" s="2" t="s">
        <v>222</v>
      </c>
      <c r="J86" s="2" t="s">
        <v>283</v>
      </c>
      <c r="K86" s="2" t="s">
        <v>29</v>
      </c>
      <c r="L86" s="2" t="s">
        <v>30</v>
      </c>
      <c r="M86" s="2">
        <v>73454</v>
      </c>
      <c r="N86" s="2" t="s">
        <v>45</v>
      </c>
      <c r="O86" s="2">
        <v>4686</v>
      </c>
      <c r="P86" s="2" t="s">
        <v>46</v>
      </c>
      <c r="Q86" s="2">
        <v>3</v>
      </c>
      <c r="R86" s="2">
        <v>5</v>
      </c>
      <c r="S86" s="2" t="s">
        <v>47</v>
      </c>
      <c r="T86" s="2" t="s">
        <v>66</v>
      </c>
      <c r="U86" s="2" t="s">
        <v>46</v>
      </c>
    </row>
    <row r="87" spans="1:21">
      <c r="A87" s="2">
        <v>10086</v>
      </c>
      <c r="B87" s="2" t="s">
        <v>284</v>
      </c>
      <c r="C87" s="2" t="s">
        <v>37</v>
      </c>
      <c r="D87" s="2">
        <v>40</v>
      </c>
      <c r="E87" s="2" t="s">
        <v>59</v>
      </c>
      <c r="F87" s="2" t="s">
        <v>39</v>
      </c>
      <c r="G87" s="2" t="s">
        <v>121</v>
      </c>
      <c r="H87" s="2" t="s">
        <v>26</v>
      </c>
      <c r="I87" s="2" t="s">
        <v>214</v>
      </c>
      <c r="J87" s="2" t="s">
        <v>285</v>
      </c>
      <c r="K87" s="2" t="s">
        <v>29</v>
      </c>
      <c r="L87" s="2" t="s">
        <v>30</v>
      </c>
      <c r="M87" s="2">
        <v>94864</v>
      </c>
      <c r="N87" s="2" t="s">
        <v>31</v>
      </c>
      <c r="O87" s="2">
        <v>3983</v>
      </c>
      <c r="P87" s="2" t="s">
        <v>65</v>
      </c>
      <c r="Q87" s="2">
        <v>18</v>
      </c>
      <c r="R87" s="2">
        <v>3</v>
      </c>
      <c r="S87" s="2" t="s">
        <v>47</v>
      </c>
      <c r="T87" s="2" t="s">
        <v>96</v>
      </c>
      <c r="U87" s="2" t="s">
        <v>35</v>
      </c>
    </row>
    <row r="88" spans="1:21">
      <c r="A88" s="2">
        <v>10087</v>
      </c>
      <c r="B88" s="2" t="s">
        <v>254</v>
      </c>
      <c r="C88" s="2" t="s">
        <v>37</v>
      </c>
      <c r="D88" s="2">
        <v>52</v>
      </c>
      <c r="E88" s="2" t="s">
        <v>98</v>
      </c>
      <c r="F88" s="2" t="s">
        <v>80</v>
      </c>
      <c r="G88" s="2" t="s">
        <v>25</v>
      </c>
      <c r="H88" s="2" t="s">
        <v>41</v>
      </c>
      <c r="I88" s="2" t="s">
        <v>219</v>
      </c>
      <c r="J88" s="2" t="s">
        <v>286</v>
      </c>
      <c r="K88" s="2" t="s">
        <v>29</v>
      </c>
      <c r="L88" s="2" t="s">
        <v>30</v>
      </c>
      <c r="M88" s="2">
        <v>87544</v>
      </c>
      <c r="N88" s="2" t="s">
        <v>31</v>
      </c>
      <c r="O88" s="2">
        <v>5916</v>
      </c>
      <c r="P88" s="2" t="s">
        <v>32</v>
      </c>
      <c r="Q88" s="2">
        <v>10</v>
      </c>
      <c r="R88" s="2">
        <v>4</v>
      </c>
      <c r="S88" s="2" t="s">
        <v>47</v>
      </c>
      <c r="T88" s="2" t="s">
        <v>66</v>
      </c>
      <c r="U88" s="2" t="s">
        <v>57</v>
      </c>
    </row>
    <row r="89" spans="1:21">
      <c r="A89" s="2">
        <v>10088</v>
      </c>
      <c r="B89" s="2" t="s">
        <v>287</v>
      </c>
      <c r="C89" s="2" t="s">
        <v>37</v>
      </c>
      <c r="D89" s="2">
        <v>31</v>
      </c>
      <c r="E89" s="2" t="s">
        <v>38</v>
      </c>
      <c r="F89" s="2" t="s">
        <v>39</v>
      </c>
      <c r="G89" s="2" t="s">
        <v>72</v>
      </c>
      <c r="H89" s="2" t="s">
        <v>60</v>
      </c>
      <c r="I89" s="2" t="s">
        <v>219</v>
      </c>
      <c r="J89" s="2" t="s">
        <v>288</v>
      </c>
      <c r="K89" s="2" t="s">
        <v>29</v>
      </c>
      <c r="L89" s="2" t="s">
        <v>30</v>
      </c>
      <c r="M89" s="2">
        <v>38951</v>
      </c>
      <c r="N89" s="2" t="s">
        <v>45</v>
      </c>
      <c r="O89" s="2">
        <v>9412</v>
      </c>
      <c r="P89" s="2" t="s">
        <v>46</v>
      </c>
      <c r="Q89" s="2">
        <v>17</v>
      </c>
      <c r="R89" s="2">
        <v>5</v>
      </c>
      <c r="S89" s="2" t="s">
        <v>47</v>
      </c>
      <c r="T89" s="2" t="s">
        <v>96</v>
      </c>
      <c r="U89" s="2" t="s">
        <v>35</v>
      </c>
    </row>
    <row r="90" spans="1:21">
      <c r="A90" s="2">
        <v>10089</v>
      </c>
      <c r="B90" s="2" t="s">
        <v>289</v>
      </c>
      <c r="C90" s="2" t="s">
        <v>37</v>
      </c>
      <c r="D90" s="2">
        <v>47</v>
      </c>
      <c r="E90" s="2" t="s">
        <v>98</v>
      </c>
      <c r="F90" s="2" t="s">
        <v>49</v>
      </c>
      <c r="G90" s="2" t="s">
        <v>25</v>
      </c>
      <c r="H90" s="2" t="s">
        <v>81</v>
      </c>
      <c r="I90" s="2" t="s">
        <v>222</v>
      </c>
      <c r="J90" s="2" t="s">
        <v>290</v>
      </c>
      <c r="K90" s="2" t="s">
        <v>63</v>
      </c>
      <c r="L90" s="2" t="s">
        <v>54</v>
      </c>
      <c r="M90" s="2">
        <v>70521</v>
      </c>
      <c r="N90" s="2" t="s">
        <v>45</v>
      </c>
      <c r="O90" s="2">
        <v>8471</v>
      </c>
      <c r="P90" s="2" t="s">
        <v>32</v>
      </c>
      <c r="Q90" s="2">
        <v>7</v>
      </c>
      <c r="R90" s="2">
        <v>2</v>
      </c>
      <c r="S90" s="2" t="s">
        <v>47</v>
      </c>
      <c r="T90" s="2" t="s">
        <v>66</v>
      </c>
      <c r="U90" s="2" t="s">
        <v>57</v>
      </c>
    </row>
    <row r="91" spans="1:21">
      <c r="A91" s="2">
        <v>10090</v>
      </c>
      <c r="B91" s="2" t="s">
        <v>291</v>
      </c>
      <c r="C91" s="2" t="s">
        <v>37</v>
      </c>
      <c r="D91" s="2">
        <v>40</v>
      </c>
      <c r="E91" s="2" t="s">
        <v>59</v>
      </c>
      <c r="F91" s="2" t="s">
        <v>80</v>
      </c>
      <c r="G91" s="2" t="s">
        <v>72</v>
      </c>
      <c r="H91" s="2" t="s">
        <v>51</v>
      </c>
      <c r="I91" s="2" t="s">
        <v>229</v>
      </c>
      <c r="J91" s="2" t="s">
        <v>292</v>
      </c>
      <c r="K91" s="2" t="s">
        <v>29</v>
      </c>
      <c r="L91" s="2" t="s">
        <v>30</v>
      </c>
      <c r="M91" s="2">
        <v>94677</v>
      </c>
      <c r="N91" s="2" t="s">
        <v>31</v>
      </c>
      <c r="O91" s="2">
        <v>1436</v>
      </c>
      <c r="P91" s="2" t="s">
        <v>46</v>
      </c>
      <c r="Q91" s="2">
        <v>18</v>
      </c>
      <c r="R91" s="2">
        <v>3</v>
      </c>
      <c r="S91" s="2" t="s">
        <v>46</v>
      </c>
      <c r="T91" s="2" t="s">
        <v>34</v>
      </c>
      <c r="U91" s="2" t="s">
        <v>35</v>
      </c>
    </row>
    <row r="92" spans="1:21">
      <c r="A92" s="2">
        <v>10091</v>
      </c>
      <c r="B92" s="2" t="s">
        <v>293</v>
      </c>
      <c r="C92" s="2" t="s">
        <v>37</v>
      </c>
      <c r="D92" s="2">
        <v>39</v>
      </c>
      <c r="E92" s="2" t="s">
        <v>59</v>
      </c>
      <c r="F92" s="2" t="s">
        <v>102</v>
      </c>
      <c r="G92" s="2" t="s">
        <v>25</v>
      </c>
      <c r="H92" s="2" t="s">
        <v>41</v>
      </c>
      <c r="I92" s="2" t="s">
        <v>229</v>
      </c>
      <c r="J92" s="2" t="s">
        <v>294</v>
      </c>
      <c r="K92" s="2" t="s">
        <v>111</v>
      </c>
      <c r="L92" s="2" t="s">
        <v>44</v>
      </c>
      <c r="M92" s="2">
        <v>53505</v>
      </c>
      <c r="N92" s="2" t="s">
        <v>64</v>
      </c>
      <c r="O92" s="2">
        <v>6751</v>
      </c>
      <c r="P92" s="2" t="s">
        <v>32</v>
      </c>
      <c r="Q92" s="2">
        <v>16</v>
      </c>
      <c r="R92" s="2">
        <v>2</v>
      </c>
      <c r="S92" s="2" t="s">
        <v>47</v>
      </c>
      <c r="T92" s="2" t="s">
        <v>34</v>
      </c>
      <c r="U92" s="2" t="s">
        <v>35</v>
      </c>
    </row>
    <row r="93" spans="1:21">
      <c r="A93" s="2">
        <v>10092</v>
      </c>
      <c r="B93" s="2" t="s">
        <v>291</v>
      </c>
      <c r="C93" s="2" t="s">
        <v>37</v>
      </c>
      <c r="D93" s="2">
        <v>36</v>
      </c>
      <c r="E93" s="2" t="s">
        <v>59</v>
      </c>
      <c r="F93" s="2" t="s">
        <v>80</v>
      </c>
      <c r="G93" s="2" t="s">
        <v>50</v>
      </c>
      <c r="H93" s="2" t="s">
        <v>51</v>
      </c>
      <c r="I93" s="2" t="s">
        <v>214</v>
      </c>
      <c r="J93" s="2" t="s">
        <v>295</v>
      </c>
      <c r="K93" s="2" t="s">
        <v>29</v>
      </c>
      <c r="L93" s="2" t="s">
        <v>54</v>
      </c>
      <c r="M93" s="2">
        <v>51335</v>
      </c>
      <c r="N93" s="2" t="s">
        <v>55</v>
      </c>
      <c r="O93" s="2">
        <v>8535</v>
      </c>
      <c r="P93" s="2" t="s">
        <v>46</v>
      </c>
      <c r="Q93" s="2">
        <v>2</v>
      </c>
      <c r="R93" s="2">
        <v>5</v>
      </c>
      <c r="S93" s="2" t="s">
        <v>47</v>
      </c>
      <c r="T93" s="2" t="s">
        <v>34</v>
      </c>
      <c r="U93" s="2" t="s">
        <v>35</v>
      </c>
    </row>
    <row r="94" spans="1:21">
      <c r="A94" s="2">
        <v>10093</v>
      </c>
      <c r="B94" s="2" t="s">
        <v>296</v>
      </c>
      <c r="C94" s="2" t="s">
        <v>22</v>
      </c>
      <c r="D94" s="2">
        <v>46</v>
      </c>
      <c r="E94" s="2" t="s">
        <v>98</v>
      </c>
      <c r="F94" s="2" t="s">
        <v>39</v>
      </c>
      <c r="G94" s="2" t="s">
        <v>40</v>
      </c>
      <c r="H94" s="2" t="s">
        <v>41</v>
      </c>
      <c r="I94" s="2" t="s">
        <v>229</v>
      </c>
      <c r="J94" s="2" t="s">
        <v>297</v>
      </c>
      <c r="K94" s="2" t="s">
        <v>29</v>
      </c>
      <c r="L94" s="2" t="s">
        <v>44</v>
      </c>
      <c r="M94" s="2">
        <v>96587</v>
      </c>
      <c r="N94" s="2" t="s">
        <v>55</v>
      </c>
      <c r="O94" s="2">
        <v>4148</v>
      </c>
      <c r="P94" s="2" t="s">
        <v>65</v>
      </c>
      <c r="Q94" s="2">
        <v>15</v>
      </c>
      <c r="R94" s="2">
        <v>1</v>
      </c>
      <c r="S94" s="2" t="s">
        <v>46</v>
      </c>
      <c r="T94" s="2" t="s">
        <v>96</v>
      </c>
      <c r="U94" s="2" t="s">
        <v>35</v>
      </c>
    </row>
    <row r="95" spans="1:21">
      <c r="A95" s="2">
        <v>10094</v>
      </c>
      <c r="B95" s="2" t="s">
        <v>238</v>
      </c>
      <c r="C95" s="2" t="s">
        <v>37</v>
      </c>
      <c r="D95" s="2">
        <v>54</v>
      </c>
      <c r="E95" s="2" t="s">
        <v>98</v>
      </c>
      <c r="F95" s="2" t="s">
        <v>24</v>
      </c>
      <c r="G95" s="2" t="s">
        <v>72</v>
      </c>
      <c r="H95" s="2" t="s">
        <v>51</v>
      </c>
      <c r="I95" s="2" t="s">
        <v>222</v>
      </c>
      <c r="J95" s="2" t="s">
        <v>298</v>
      </c>
      <c r="K95" s="2" t="s">
        <v>111</v>
      </c>
      <c r="L95" s="2" t="s">
        <v>44</v>
      </c>
      <c r="M95" s="2">
        <v>81767</v>
      </c>
      <c r="N95" s="2" t="s">
        <v>31</v>
      </c>
      <c r="O95" s="2">
        <v>4425</v>
      </c>
      <c r="P95" s="2" t="s">
        <v>65</v>
      </c>
      <c r="Q95" s="2">
        <v>16</v>
      </c>
      <c r="R95" s="2">
        <v>1</v>
      </c>
      <c r="S95" s="2" t="s">
        <v>46</v>
      </c>
      <c r="T95" s="2" t="s">
        <v>34</v>
      </c>
      <c r="U95" s="2" t="s">
        <v>57</v>
      </c>
    </row>
    <row r="96" spans="1:21">
      <c r="A96" s="2">
        <v>10095</v>
      </c>
      <c r="B96" s="2" t="s">
        <v>299</v>
      </c>
      <c r="C96" s="2" t="s">
        <v>37</v>
      </c>
      <c r="D96" s="2">
        <v>54</v>
      </c>
      <c r="E96" s="2" t="s">
        <v>98</v>
      </c>
      <c r="F96" s="2" t="s">
        <v>39</v>
      </c>
      <c r="G96" s="2" t="s">
        <v>50</v>
      </c>
      <c r="H96" s="2" t="s">
        <v>41</v>
      </c>
      <c r="I96" s="2" t="s">
        <v>214</v>
      </c>
      <c r="J96" s="2" t="s">
        <v>290</v>
      </c>
      <c r="K96" s="2" t="s">
        <v>29</v>
      </c>
      <c r="L96" s="2" t="s">
        <v>30</v>
      </c>
      <c r="M96" s="2">
        <v>70567</v>
      </c>
      <c r="N96" s="2" t="s">
        <v>55</v>
      </c>
      <c r="O96" s="2">
        <v>3149</v>
      </c>
      <c r="P96" s="2" t="s">
        <v>65</v>
      </c>
      <c r="Q96" s="2">
        <v>15</v>
      </c>
      <c r="R96" s="2">
        <v>4</v>
      </c>
      <c r="S96" s="2" t="s">
        <v>46</v>
      </c>
      <c r="T96" s="2" t="s">
        <v>66</v>
      </c>
      <c r="U96" s="2" t="s">
        <v>57</v>
      </c>
    </row>
    <row r="97" spans="1:21">
      <c r="A97" s="2">
        <v>10096</v>
      </c>
      <c r="B97" s="2" t="s">
        <v>300</v>
      </c>
      <c r="C97" s="2" t="s">
        <v>22</v>
      </c>
      <c r="D97" s="2">
        <v>35</v>
      </c>
      <c r="E97" s="2" t="s">
        <v>38</v>
      </c>
      <c r="F97" s="2" t="s">
        <v>80</v>
      </c>
      <c r="G97" s="2" t="s">
        <v>121</v>
      </c>
      <c r="H97" s="2" t="s">
        <v>26</v>
      </c>
      <c r="I97" s="2" t="s">
        <v>222</v>
      </c>
      <c r="J97" s="2" t="s">
        <v>301</v>
      </c>
      <c r="K97" s="2" t="s">
        <v>111</v>
      </c>
      <c r="L97" s="2" t="s">
        <v>54</v>
      </c>
      <c r="M97" s="2">
        <v>47791</v>
      </c>
      <c r="N97" s="2" t="s">
        <v>45</v>
      </c>
      <c r="O97" s="2">
        <v>6443</v>
      </c>
      <c r="P97" s="2" t="s">
        <v>32</v>
      </c>
      <c r="Q97" s="2">
        <v>8</v>
      </c>
      <c r="R97" s="2">
        <v>5</v>
      </c>
      <c r="S97" s="2" t="s">
        <v>33</v>
      </c>
      <c r="T97" s="2" t="s">
        <v>34</v>
      </c>
      <c r="U97" s="2" t="s">
        <v>46</v>
      </c>
    </row>
    <row r="98" spans="1:21">
      <c r="A98" s="2">
        <v>10097</v>
      </c>
      <c r="B98" s="2" t="s">
        <v>293</v>
      </c>
      <c r="C98" s="2" t="s">
        <v>37</v>
      </c>
      <c r="D98" s="2">
        <v>23</v>
      </c>
      <c r="E98" s="2" t="s">
        <v>23</v>
      </c>
      <c r="F98" s="2" t="s">
        <v>80</v>
      </c>
      <c r="G98" s="2" t="s">
        <v>50</v>
      </c>
      <c r="H98" s="2" t="s">
        <v>60</v>
      </c>
      <c r="I98" s="2" t="s">
        <v>214</v>
      </c>
      <c r="J98" s="2" t="s">
        <v>302</v>
      </c>
      <c r="K98" s="2" t="s">
        <v>111</v>
      </c>
      <c r="L98" s="2" t="s">
        <v>30</v>
      </c>
      <c r="M98" s="2">
        <v>71619</v>
      </c>
      <c r="N98" s="2" t="s">
        <v>64</v>
      </c>
      <c r="O98" s="2">
        <v>2409</v>
      </c>
      <c r="P98" s="2" t="s">
        <v>32</v>
      </c>
      <c r="Q98" s="2">
        <v>20</v>
      </c>
      <c r="R98" s="2">
        <v>4</v>
      </c>
      <c r="S98" s="2" t="s">
        <v>46</v>
      </c>
      <c r="T98" s="2" t="s">
        <v>66</v>
      </c>
      <c r="U98" s="2" t="s">
        <v>46</v>
      </c>
    </row>
    <row r="99" spans="1:21">
      <c r="A99" s="2">
        <v>10098</v>
      </c>
      <c r="B99" s="2" t="s">
        <v>303</v>
      </c>
      <c r="C99" s="2" t="s">
        <v>37</v>
      </c>
      <c r="D99" s="2">
        <v>37</v>
      </c>
      <c r="E99" s="2" t="s">
        <v>59</v>
      </c>
      <c r="F99" s="2" t="s">
        <v>49</v>
      </c>
      <c r="G99" s="2" t="s">
        <v>72</v>
      </c>
      <c r="H99" s="2" t="s">
        <v>26</v>
      </c>
      <c r="I99" s="2" t="s">
        <v>219</v>
      </c>
      <c r="J99" s="2" t="s">
        <v>304</v>
      </c>
      <c r="K99" s="2" t="s">
        <v>111</v>
      </c>
      <c r="L99" s="2" t="s">
        <v>30</v>
      </c>
      <c r="M99" s="2">
        <v>38234</v>
      </c>
      <c r="N99" s="2" t="s">
        <v>64</v>
      </c>
      <c r="O99" s="2">
        <v>3160</v>
      </c>
      <c r="P99" s="2" t="s">
        <v>32</v>
      </c>
      <c r="Q99" s="2">
        <v>10</v>
      </c>
      <c r="R99" s="2">
        <v>2</v>
      </c>
      <c r="S99" s="2" t="s">
        <v>46</v>
      </c>
      <c r="T99" s="2" t="s">
        <v>66</v>
      </c>
      <c r="U99" s="2" t="s">
        <v>46</v>
      </c>
    </row>
    <row r="100" spans="1:21">
      <c r="A100" s="2">
        <v>10099</v>
      </c>
      <c r="B100" s="2" t="s">
        <v>305</v>
      </c>
      <c r="C100" s="2" t="s">
        <v>22</v>
      </c>
      <c r="D100" s="2">
        <v>33</v>
      </c>
      <c r="E100" s="2" t="s">
        <v>38</v>
      </c>
      <c r="F100" s="2" t="s">
        <v>24</v>
      </c>
      <c r="G100" s="2" t="s">
        <v>72</v>
      </c>
      <c r="H100" s="2" t="s">
        <v>26</v>
      </c>
      <c r="I100" s="2" t="s">
        <v>222</v>
      </c>
      <c r="J100" s="2" t="s">
        <v>306</v>
      </c>
      <c r="K100" s="2" t="s">
        <v>111</v>
      </c>
      <c r="L100" s="2" t="s">
        <v>30</v>
      </c>
      <c r="M100" s="2">
        <v>54528</v>
      </c>
      <c r="N100" s="2" t="s">
        <v>55</v>
      </c>
      <c r="O100" s="2">
        <v>5238</v>
      </c>
      <c r="P100" s="2" t="s">
        <v>32</v>
      </c>
      <c r="Q100" s="2">
        <v>9</v>
      </c>
      <c r="R100" s="2">
        <v>3</v>
      </c>
      <c r="S100" s="2" t="s">
        <v>46</v>
      </c>
      <c r="T100" s="2" t="s">
        <v>56</v>
      </c>
      <c r="U100" s="2" t="s">
        <v>46</v>
      </c>
    </row>
    <row r="101" spans="1:21">
      <c r="A101" s="3">
        <v>10100</v>
      </c>
      <c r="B101" s="3" t="s">
        <v>307</v>
      </c>
      <c r="C101" s="3" t="s">
        <v>22</v>
      </c>
      <c r="D101" s="3">
        <v>26</v>
      </c>
      <c r="E101" s="3" t="s">
        <v>38</v>
      </c>
      <c r="F101" s="3" t="s">
        <v>102</v>
      </c>
      <c r="G101" s="3" t="s">
        <v>72</v>
      </c>
      <c r="H101" s="3" t="s">
        <v>81</v>
      </c>
      <c r="I101" s="3" t="s">
        <v>214</v>
      </c>
      <c r="J101" s="3" t="s">
        <v>308</v>
      </c>
      <c r="K101" s="3" t="s">
        <v>63</v>
      </c>
      <c r="L101" s="3" t="s">
        <v>30</v>
      </c>
      <c r="M101" s="3">
        <v>54125</v>
      </c>
      <c r="N101" s="3" t="s">
        <v>55</v>
      </c>
      <c r="O101" s="3">
        <v>9708</v>
      </c>
      <c r="P101" s="3" t="s">
        <v>32</v>
      </c>
      <c r="Q101" s="3">
        <v>0</v>
      </c>
      <c r="R101" s="3">
        <v>1</v>
      </c>
      <c r="S101" s="3" t="s">
        <v>47</v>
      </c>
      <c r="T101" s="3" t="s">
        <v>34</v>
      </c>
      <c r="U101" s="3" t="s">
        <v>35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dc:creator>
  <cp:lastModifiedBy>km2989688@gmail.com</cp:lastModifiedBy>
  <dcterms:created xsi:type="dcterms:W3CDTF">2026-07-22T08:04:25Z</dcterms:created>
  <dcterms:modified xsi:type="dcterms:W3CDTF">2026-10-11T15:43:04Z</dcterms:modified>
</cp:coreProperties>
</file>